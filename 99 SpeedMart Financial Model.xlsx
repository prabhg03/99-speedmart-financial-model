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cd7971e3f989dab6/Documents/Financial Modeling/"/>
    </mc:Choice>
  </mc:AlternateContent>
  <xr:revisionPtr revIDLastSave="16" documentId="8_{DFCCA387-0FE3-4F07-995F-8BCF63B437B5}" xr6:coauthVersionLast="47" xr6:coauthVersionMax="47" xr10:uidLastSave="{E73BE5AC-7D19-431B-A9E1-FD00EAB65E41}"/>
  <bookViews>
    <workbookView xWindow="11424" yWindow="0" windowWidth="11712" windowHeight="12336" activeTab="1" xr2:uid="{E3CF0491-32B1-4F87-A66C-AE4E86013C3E}"/>
  </bookViews>
  <sheets>
    <sheet name="FSA" sheetId="2" r:id="rId1"/>
    <sheet name="DCF Model" sheetId="3" r:id="rId2"/>
    <sheet name="Comps " sheetId="5" r:id="rId3"/>
    <sheet name="Data" sheetId="1" r:id="rId4"/>
  </sheets>
  <definedNames>
    <definedName name="taper_rate">'DCF Model'!$C$17</definedName>
    <definedName name="Tax_rate">'DCF Model'!$C$21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5" i="3" l="1"/>
  <c r="H175" i="3" s="1"/>
  <c r="E175" i="3"/>
  <c r="D175" i="3" s="1"/>
  <c r="C175" i="3" s="1"/>
  <c r="C168" i="3"/>
  <c r="C166" i="3"/>
  <c r="C164" i="3"/>
  <c r="C131" i="3"/>
  <c r="B178" i="3" s="1"/>
  <c r="B177" i="3" s="1"/>
  <c r="B176" i="3" s="1"/>
  <c r="H20" i="5"/>
  <c r="C19" i="5"/>
  <c r="D19" i="5"/>
  <c r="F19" i="5" s="1"/>
  <c r="E19" i="5"/>
  <c r="E22" i="5" s="1"/>
  <c r="G19" i="5"/>
  <c r="I19" i="5" s="1"/>
  <c r="H19" i="5"/>
  <c r="C121" i="3"/>
  <c r="C120" i="3"/>
  <c r="C117" i="3"/>
  <c r="C116" i="3"/>
  <c r="E251" i="1"/>
  <c r="E248" i="1"/>
  <c r="E249" i="1"/>
  <c r="E250" i="1"/>
  <c r="D248" i="1"/>
  <c r="D249" i="1"/>
  <c r="D250" i="1"/>
  <c r="C113" i="3"/>
  <c r="C112" i="3"/>
  <c r="E23" i="5"/>
  <c r="H18" i="5"/>
  <c r="H21" i="5"/>
  <c r="G18" i="5"/>
  <c r="I18" i="5" s="1"/>
  <c r="G20" i="5"/>
  <c r="I20" i="5" s="1"/>
  <c r="G21" i="5"/>
  <c r="I21" i="5" s="1"/>
  <c r="F18" i="5"/>
  <c r="F20" i="5"/>
  <c r="F21" i="5"/>
  <c r="E18" i="5"/>
  <c r="E20" i="5"/>
  <c r="E21" i="5"/>
  <c r="D18" i="5"/>
  <c r="D20" i="5"/>
  <c r="D21" i="5"/>
  <c r="C18" i="5"/>
  <c r="C20" i="5"/>
  <c r="C21" i="5"/>
  <c r="C239" i="1"/>
  <c r="B238" i="1"/>
  <c r="B239" i="1" s="1"/>
  <c r="C238" i="1"/>
  <c r="D238" i="1"/>
  <c r="D239" i="1" s="1"/>
  <c r="E238" i="1"/>
  <c r="E239" i="1" s="1"/>
  <c r="F238" i="1"/>
  <c r="B230" i="1"/>
  <c r="C229" i="1"/>
  <c r="D229" i="1" s="1"/>
  <c r="D84" i="3"/>
  <c r="C85" i="3"/>
  <c r="C87" i="3" s="1"/>
  <c r="D87" i="3" s="1"/>
  <c r="E87" i="3" s="1"/>
  <c r="F87" i="3" s="1"/>
  <c r="G87" i="3" s="1"/>
  <c r="C49" i="3"/>
  <c r="D49" i="3"/>
  <c r="E49" i="3"/>
  <c r="F49" i="3"/>
  <c r="G49" i="3"/>
  <c r="C47" i="3"/>
  <c r="D47" i="3"/>
  <c r="E47" i="3"/>
  <c r="F47" i="3"/>
  <c r="G47" i="3"/>
  <c r="C45" i="3"/>
  <c r="D45" i="3"/>
  <c r="E45" i="3"/>
  <c r="F45" i="3"/>
  <c r="G45" i="3"/>
  <c r="C43" i="3"/>
  <c r="C44" i="3" s="1"/>
  <c r="D43" i="3"/>
  <c r="D44" i="3" s="1"/>
  <c r="E43" i="3"/>
  <c r="E44" i="3" s="1"/>
  <c r="F43" i="3"/>
  <c r="F44" i="3" s="1"/>
  <c r="G43" i="3"/>
  <c r="G44" i="3" s="1"/>
  <c r="C42" i="3"/>
  <c r="C98" i="3" s="1"/>
  <c r="D42" i="3"/>
  <c r="E42" i="3"/>
  <c r="F42" i="3"/>
  <c r="G42" i="3"/>
  <c r="C38" i="3"/>
  <c r="D38" i="3"/>
  <c r="E38" i="3"/>
  <c r="F38" i="3"/>
  <c r="G38" i="3"/>
  <c r="C34" i="3"/>
  <c r="D34" i="3"/>
  <c r="E34" i="3"/>
  <c r="F34" i="3"/>
  <c r="G34" i="3"/>
  <c r="C32" i="3"/>
  <c r="D32" i="3"/>
  <c r="E32" i="3"/>
  <c r="F32" i="3"/>
  <c r="G32" i="3"/>
  <c r="C30" i="3"/>
  <c r="D30" i="3"/>
  <c r="E30" i="3"/>
  <c r="F30" i="3"/>
  <c r="G30" i="3"/>
  <c r="C28" i="3"/>
  <c r="D28" i="3"/>
  <c r="E28" i="3"/>
  <c r="F28" i="3"/>
  <c r="G28" i="3"/>
  <c r="C114" i="3" l="1"/>
  <c r="C118" i="3"/>
  <c r="C163" i="3"/>
  <c r="B179" i="3"/>
  <c r="B180" i="3" s="1"/>
  <c r="H22" i="5"/>
  <c r="F23" i="5"/>
  <c r="C109" i="3" s="1"/>
  <c r="C110" i="3" s="1"/>
  <c r="F22" i="5"/>
  <c r="H23" i="5"/>
  <c r="G23" i="5"/>
  <c r="I23" i="5"/>
  <c r="I22" i="5"/>
  <c r="G22" i="5"/>
  <c r="E229" i="1"/>
  <c r="D230" i="1"/>
  <c r="C99" i="3"/>
  <c r="C100" i="3" s="1"/>
  <c r="D98" i="3"/>
  <c r="C230" i="1"/>
  <c r="G48" i="3"/>
  <c r="F241" i="1" s="1"/>
  <c r="F242" i="1" s="1"/>
  <c r="C46" i="3"/>
  <c r="E33" i="3"/>
  <c r="D36" i="3"/>
  <c r="D40" i="3" s="1"/>
  <c r="D41" i="3" s="1"/>
  <c r="E36" i="3"/>
  <c r="E37" i="3" s="1"/>
  <c r="G31" i="3"/>
  <c r="D31" i="3"/>
  <c r="F35" i="3"/>
  <c r="E29" i="3"/>
  <c r="D33" i="3"/>
  <c r="G33" i="3"/>
  <c r="E39" i="3"/>
  <c r="D48" i="3"/>
  <c r="C241" i="1" s="1"/>
  <c r="C242" i="1" s="1"/>
  <c r="F36" i="3"/>
  <c r="F37" i="3" s="1"/>
  <c r="C39" i="3"/>
  <c r="E50" i="3"/>
  <c r="E46" i="3"/>
  <c r="F48" i="3"/>
  <c r="E241" i="1" s="1"/>
  <c r="E242" i="1" s="1"/>
  <c r="G46" i="3"/>
  <c r="F29" i="3"/>
  <c r="G35" i="3"/>
  <c r="D85" i="3"/>
  <c r="E85" i="3" s="1"/>
  <c r="F85" i="3" s="1"/>
  <c r="G85" i="3" s="1"/>
  <c r="C86" i="3"/>
  <c r="D86" i="3" s="1"/>
  <c r="E86" i="3" s="1"/>
  <c r="F86" i="3" s="1"/>
  <c r="G86" i="3" s="1"/>
  <c r="C48" i="3"/>
  <c r="B241" i="1" s="1"/>
  <c r="B242" i="1" s="1"/>
  <c r="C31" i="3"/>
  <c r="D35" i="3"/>
  <c r="D29" i="3"/>
  <c r="F46" i="3"/>
  <c r="E48" i="3"/>
  <c r="D241" i="1" s="1"/>
  <c r="D242" i="1" s="1"/>
  <c r="C29" i="3"/>
  <c r="E35" i="3"/>
  <c r="G39" i="3"/>
  <c r="G50" i="3"/>
  <c r="F39" i="3"/>
  <c r="F50" i="3"/>
  <c r="F31" i="3"/>
  <c r="C33" i="3"/>
  <c r="C35" i="3"/>
  <c r="F33" i="3"/>
  <c r="D39" i="3"/>
  <c r="D50" i="3"/>
  <c r="C50" i="3"/>
  <c r="C36" i="3"/>
  <c r="D46" i="3"/>
  <c r="G36" i="3"/>
  <c r="E31" i="3"/>
  <c r="C122" i="3" l="1"/>
  <c r="C123" i="3" s="1"/>
  <c r="C124" i="3" s="1"/>
  <c r="D141" i="3" s="1"/>
  <c r="C102" i="3"/>
  <c r="D37" i="3"/>
  <c r="E40" i="3"/>
  <c r="E41" i="3" s="1"/>
  <c r="E98" i="3"/>
  <c r="D99" i="3"/>
  <c r="D100" i="3" s="1"/>
  <c r="F229" i="1"/>
  <c r="E230" i="1"/>
  <c r="F40" i="3"/>
  <c r="F41" i="3" s="1"/>
  <c r="C82" i="3" a="1"/>
  <c r="C37" i="3"/>
  <c r="C94" i="3" s="1"/>
  <c r="D94" i="3" s="1"/>
  <c r="E94" i="3" s="1"/>
  <c r="F94" i="3" s="1"/>
  <c r="G94" i="3" s="1"/>
  <c r="C40" i="3"/>
  <c r="C41" i="3" s="1"/>
  <c r="G37" i="3"/>
  <c r="G40" i="3"/>
  <c r="G41" i="3" s="1"/>
  <c r="F141" i="3" l="1"/>
  <c r="E141" i="3"/>
  <c r="G141" i="3"/>
  <c r="H141" i="3" s="1"/>
  <c r="C141" i="3"/>
  <c r="D102" i="3"/>
  <c r="G229" i="1"/>
  <c r="F230" i="1"/>
  <c r="F98" i="3"/>
  <c r="E99" i="3"/>
  <c r="E100" i="3" s="1"/>
  <c r="C82" i="3"/>
  <c r="C83" i="3" s="1"/>
  <c r="C93" i="3" s="1"/>
  <c r="G82" i="3"/>
  <c r="E82" i="3"/>
  <c r="D82" i="3"/>
  <c r="F82" i="3"/>
  <c r="E102" i="3" l="1"/>
  <c r="G98" i="3"/>
  <c r="F99" i="3"/>
  <c r="F100" i="3" s="1"/>
  <c r="H229" i="1"/>
  <c r="H230" i="1" s="1"/>
  <c r="G230" i="1"/>
  <c r="C95" i="3"/>
  <c r="C96" i="3"/>
  <c r="C101" i="3" s="1"/>
  <c r="C103" i="3" s="1"/>
  <c r="C140" i="3" s="1"/>
  <c r="C142" i="3" s="1"/>
  <c r="D83" i="3"/>
  <c r="F102" i="3" l="1"/>
  <c r="G99" i="3"/>
  <c r="G100" i="3" s="1"/>
  <c r="C97" i="3"/>
  <c r="E83" i="3"/>
  <c r="D93" i="3"/>
  <c r="G102" i="3" l="1"/>
  <c r="D95" i="3"/>
  <c r="D96" i="3"/>
  <c r="D101" i="3" s="1"/>
  <c r="D103" i="3" s="1"/>
  <c r="D140" i="3" s="1"/>
  <c r="D142" i="3" s="1"/>
  <c r="F83" i="3"/>
  <c r="E93" i="3"/>
  <c r="E95" i="3" l="1"/>
  <c r="E96" i="3"/>
  <c r="E101" i="3" s="1"/>
  <c r="E103" i="3" s="1"/>
  <c r="E140" i="3" s="1"/>
  <c r="E142" i="3" s="1"/>
  <c r="D97" i="3"/>
  <c r="G83" i="3"/>
  <c r="G93" i="3" s="1"/>
  <c r="F93" i="3"/>
  <c r="G96" i="3" l="1"/>
  <c r="G101" i="3" s="1"/>
  <c r="G103" i="3" s="1"/>
  <c r="G95" i="3"/>
  <c r="E97" i="3"/>
  <c r="F96" i="3"/>
  <c r="F101" i="3" s="1"/>
  <c r="F103" i="3" s="1"/>
  <c r="F140" i="3" s="1"/>
  <c r="F142" i="3" s="1"/>
  <c r="F95" i="3"/>
  <c r="G140" i="3" l="1"/>
  <c r="G142" i="3" s="1"/>
  <c r="B150" i="3" s="1"/>
  <c r="C130" i="3"/>
  <c r="C133" i="3" s="1"/>
  <c r="H140" i="3" s="1"/>
  <c r="H142" i="3" s="1"/>
  <c r="B155" i="3" s="1"/>
  <c r="F97" i="3"/>
  <c r="G97" i="3"/>
  <c r="B160" i="3" l="1"/>
  <c r="C162" i="3" s="1"/>
  <c r="C165" i="3" s="1"/>
  <c r="C167" i="3" s="1"/>
  <c r="B141" i="2"/>
  <c r="C141" i="2"/>
  <c r="D141" i="2"/>
  <c r="E141" i="2"/>
  <c r="F141" i="2"/>
  <c r="B139" i="2"/>
  <c r="C139" i="2"/>
  <c r="D139" i="2"/>
  <c r="E139" i="2"/>
  <c r="F139" i="2"/>
  <c r="B140" i="2"/>
  <c r="C140" i="2"/>
  <c r="D140" i="2"/>
  <c r="E140" i="2"/>
  <c r="F140" i="2"/>
  <c r="B137" i="2"/>
  <c r="C137" i="2"/>
  <c r="D137" i="2"/>
  <c r="E137" i="2"/>
  <c r="F137" i="2"/>
  <c r="B136" i="2"/>
  <c r="C136" i="2"/>
  <c r="D136" i="2"/>
  <c r="E136" i="2"/>
  <c r="F136" i="2"/>
  <c r="B135" i="2"/>
  <c r="C135" i="2"/>
  <c r="D135" i="2"/>
  <c r="E135" i="2"/>
  <c r="F135" i="2"/>
  <c r="B133" i="2"/>
  <c r="C133" i="2"/>
  <c r="D133" i="2"/>
  <c r="E133" i="2"/>
  <c r="F133" i="2"/>
  <c r="B132" i="2"/>
  <c r="C132" i="2"/>
  <c r="D132" i="2"/>
  <c r="E132" i="2"/>
  <c r="F132" i="2"/>
  <c r="B131" i="2"/>
  <c r="C131" i="2"/>
  <c r="D131" i="2"/>
  <c r="E131" i="2"/>
  <c r="F131" i="2"/>
  <c r="B130" i="2"/>
  <c r="C130" i="2"/>
  <c r="D130" i="2"/>
  <c r="E130" i="2"/>
  <c r="F130" i="2"/>
  <c r="C128" i="2"/>
  <c r="D128" i="2"/>
  <c r="E128" i="2"/>
  <c r="F128" i="2"/>
  <c r="B128" i="2"/>
  <c r="B127" i="2"/>
  <c r="C127" i="2"/>
  <c r="D127" i="2"/>
  <c r="E127" i="2"/>
  <c r="F127" i="2"/>
  <c r="B124" i="2"/>
  <c r="C124" i="2"/>
  <c r="D124" i="2"/>
  <c r="E124" i="2"/>
  <c r="F124" i="2"/>
  <c r="F122" i="2"/>
  <c r="F121" i="2"/>
  <c r="B82" i="2"/>
  <c r="B121" i="2" s="1"/>
  <c r="C82" i="2"/>
  <c r="C121" i="2" s="1"/>
  <c r="D82" i="2"/>
  <c r="D121" i="2" s="1"/>
  <c r="E82" i="2"/>
  <c r="E121" i="2" s="1"/>
  <c r="B83" i="2"/>
  <c r="C83" i="2"/>
  <c r="D83" i="2"/>
  <c r="E83" i="2"/>
  <c r="B84" i="2"/>
  <c r="C84" i="2"/>
  <c r="D84" i="2"/>
  <c r="E84" i="2"/>
  <c r="B85" i="2"/>
  <c r="C85" i="2"/>
  <c r="D85" i="2"/>
  <c r="E85" i="2"/>
  <c r="B86" i="2"/>
  <c r="C86" i="2"/>
  <c r="D86" i="2"/>
  <c r="E86" i="2"/>
  <c r="B87" i="2"/>
  <c r="C87" i="2"/>
  <c r="D87" i="2"/>
  <c r="E87" i="2"/>
  <c r="B88" i="2"/>
  <c r="C88" i="2"/>
  <c r="D88" i="2"/>
  <c r="E88" i="2"/>
  <c r="B89" i="2"/>
  <c r="C89" i="2"/>
  <c r="D89" i="2"/>
  <c r="E89" i="2"/>
  <c r="B90" i="2"/>
  <c r="C90" i="2"/>
  <c r="D90" i="2"/>
  <c r="E90" i="2"/>
  <c r="B91" i="2"/>
  <c r="B122" i="2" s="1"/>
  <c r="C91" i="2"/>
  <c r="C122" i="2" s="1"/>
  <c r="D91" i="2"/>
  <c r="D122" i="2" s="1"/>
  <c r="E91" i="2"/>
  <c r="E122" i="2" s="1"/>
  <c r="B95" i="2"/>
  <c r="C95" i="2"/>
  <c r="D95" i="2"/>
  <c r="E95" i="2"/>
  <c r="B96" i="2"/>
  <c r="C96" i="2"/>
  <c r="D96" i="2"/>
  <c r="E96" i="2"/>
  <c r="B97" i="2"/>
  <c r="C97" i="2"/>
  <c r="D97" i="2"/>
  <c r="E97" i="2"/>
  <c r="B98" i="2"/>
  <c r="C98" i="2"/>
  <c r="D98" i="2"/>
  <c r="E98" i="2"/>
  <c r="B99" i="2"/>
  <c r="C99" i="2"/>
  <c r="D99" i="2"/>
  <c r="E99" i="2"/>
  <c r="B100" i="2"/>
  <c r="C100" i="2"/>
  <c r="D100" i="2"/>
  <c r="E100" i="2"/>
  <c r="B102" i="2"/>
  <c r="C102" i="2"/>
  <c r="D102" i="2"/>
  <c r="E102" i="2"/>
  <c r="B105" i="2"/>
  <c r="C105" i="2"/>
  <c r="D105" i="2"/>
  <c r="E105" i="2"/>
  <c r="B106" i="2"/>
  <c r="C106" i="2"/>
  <c r="D106" i="2"/>
  <c r="E106" i="2"/>
  <c r="B107" i="2"/>
  <c r="C107" i="2"/>
  <c r="D107" i="2"/>
  <c r="E107" i="2"/>
  <c r="B108" i="2"/>
  <c r="C108" i="2"/>
  <c r="D108" i="2"/>
  <c r="E108" i="2"/>
  <c r="B109" i="2"/>
  <c r="C109" i="2"/>
  <c r="D109" i="2"/>
  <c r="E109" i="2"/>
  <c r="B110" i="2"/>
  <c r="C110" i="2"/>
  <c r="D110" i="2"/>
  <c r="E110" i="2"/>
  <c r="B111" i="2"/>
  <c r="C111" i="2"/>
  <c r="D111" i="2"/>
  <c r="E111" i="2"/>
  <c r="B112" i="2"/>
  <c r="C112" i="2"/>
  <c r="D112" i="2"/>
  <c r="E112" i="2"/>
  <c r="B115" i="2"/>
  <c r="C115" i="2"/>
  <c r="D115" i="2"/>
  <c r="E115" i="2"/>
  <c r="B116" i="2"/>
  <c r="C116" i="2"/>
  <c r="D116" i="2"/>
  <c r="E116" i="2"/>
  <c r="B73" i="2"/>
  <c r="C73" i="2"/>
  <c r="D73" i="2"/>
  <c r="E73" i="2"/>
  <c r="F73" i="2"/>
  <c r="B74" i="2"/>
  <c r="C74" i="2"/>
  <c r="D74" i="2"/>
  <c r="E74" i="2"/>
  <c r="F74" i="2"/>
  <c r="B75" i="2"/>
  <c r="C75" i="2"/>
  <c r="D75" i="2"/>
  <c r="E75" i="2"/>
  <c r="F75" i="2"/>
  <c r="B76" i="2"/>
  <c r="C76" i="2"/>
  <c r="D76" i="2"/>
  <c r="E76" i="2"/>
  <c r="F76" i="2"/>
  <c r="B77" i="2"/>
  <c r="C77" i="2"/>
  <c r="D77" i="2"/>
  <c r="E77" i="2"/>
  <c r="F77" i="2"/>
  <c r="B63" i="2"/>
  <c r="C63" i="2"/>
  <c r="D63" i="2"/>
  <c r="E63" i="2"/>
  <c r="F63" i="2"/>
  <c r="B64" i="2"/>
  <c r="C64" i="2"/>
  <c r="D64" i="2"/>
  <c r="E64" i="2"/>
  <c r="F64" i="2"/>
  <c r="B65" i="2"/>
  <c r="C65" i="2"/>
  <c r="D65" i="2"/>
  <c r="E65" i="2"/>
  <c r="F65" i="2"/>
  <c r="B66" i="2"/>
  <c r="C66" i="2"/>
  <c r="D66" i="2"/>
  <c r="E66" i="2"/>
  <c r="F66" i="2"/>
  <c r="B67" i="2"/>
  <c r="C67" i="2"/>
  <c r="D67" i="2"/>
  <c r="E67" i="2"/>
  <c r="F67" i="2"/>
  <c r="B68" i="2"/>
  <c r="C68" i="2"/>
  <c r="D68" i="2"/>
  <c r="E68" i="2"/>
  <c r="F68" i="2"/>
  <c r="B69" i="2"/>
  <c r="C69" i="2"/>
  <c r="D69" i="2"/>
  <c r="E69" i="2"/>
  <c r="F69" i="2"/>
  <c r="B70" i="2"/>
  <c r="C70" i="2"/>
  <c r="D70" i="2"/>
  <c r="E70" i="2"/>
  <c r="F70" i="2"/>
  <c r="B71" i="2"/>
  <c r="C71" i="2"/>
  <c r="D71" i="2"/>
  <c r="E71" i="2"/>
  <c r="F71" i="2"/>
  <c r="B72" i="2"/>
  <c r="C72" i="2"/>
  <c r="D72" i="2"/>
  <c r="E72" i="2"/>
  <c r="F72" i="2"/>
  <c r="B56" i="2"/>
  <c r="C56" i="2"/>
  <c r="D56" i="2"/>
  <c r="E56" i="2"/>
  <c r="F56" i="2"/>
  <c r="B57" i="2"/>
  <c r="C57" i="2"/>
  <c r="D57" i="2"/>
  <c r="E57" i="2"/>
  <c r="F57" i="2"/>
  <c r="B58" i="2"/>
  <c r="C58" i="2"/>
  <c r="D58" i="2"/>
  <c r="E58" i="2"/>
  <c r="F58" i="2"/>
  <c r="B59" i="2"/>
  <c r="C59" i="2"/>
  <c r="D59" i="2"/>
  <c r="E59" i="2"/>
  <c r="F59" i="2"/>
  <c r="B60" i="2"/>
  <c r="C60" i="2"/>
  <c r="D60" i="2"/>
  <c r="E60" i="2"/>
  <c r="F60" i="2"/>
  <c r="B61" i="2"/>
  <c r="C61" i="2"/>
  <c r="D61" i="2"/>
  <c r="E61" i="2"/>
  <c r="F61" i="2"/>
  <c r="B62" i="2"/>
  <c r="C62" i="2"/>
  <c r="D62" i="2"/>
  <c r="E62" i="2"/>
  <c r="F62" i="2"/>
  <c r="B43" i="2"/>
  <c r="C43" i="2"/>
  <c r="D43" i="2"/>
  <c r="E43" i="2"/>
  <c r="F43" i="2"/>
  <c r="B44" i="2"/>
  <c r="C44" i="2"/>
  <c r="D44" i="2"/>
  <c r="E44" i="2"/>
  <c r="F44" i="2"/>
  <c r="B45" i="2"/>
  <c r="C45" i="2"/>
  <c r="D45" i="2"/>
  <c r="E45" i="2"/>
  <c r="F45" i="2"/>
  <c r="B46" i="2"/>
  <c r="C46" i="2"/>
  <c r="D46" i="2"/>
  <c r="E46" i="2"/>
  <c r="F46" i="2"/>
  <c r="B47" i="2"/>
  <c r="B125" i="2" s="1"/>
  <c r="C47" i="2"/>
  <c r="C125" i="2" s="1"/>
  <c r="D47" i="2"/>
  <c r="D125" i="2" s="1"/>
  <c r="E47" i="2"/>
  <c r="E125" i="2" s="1"/>
  <c r="F47" i="2"/>
  <c r="F125" i="2" s="1"/>
  <c r="B48" i="2"/>
  <c r="C48" i="2"/>
  <c r="D48" i="2"/>
  <c r="E48" i="2"/>
  <c r="F48" i="2"/>
  <c r="B49" i="2"/>
  <c r="C49" i="2"/>
  <c r="D49" i="2"/>
  <c r="E49" i="2"/>
  <c r="F49" i="2"/>
  <c r="B50" i="2"/>
  <c r="C50" i="2"/>
  <c r="D50" i="2"/>
  <c r="E50" i="2"/>
  <c r="F50" i="2"/>
  <c r="B51" i="2"/>
  <c r="C51" i="2"/>
  <c r="D51" i="2"/>
  <c r="E51" i="2"/>
  <c r="F51" i="2"/>
  <c r="B52" i="2"/>
  <c r="B126" i="2" s="1"/>
  <c r="C52" i="2"/>
  <c r="C126" i="2" s="1"/>
  <c r="D52" i="2"/>
  <c r="D126" i="2" s="1"/>
  <c r="E52" i="2"/>
  <c r="E126" i="2" s="1"/>
  <c r="F52" i="2"/>
  <c r="F126" i="2" s="1"/>
  <c r="C169" i="3" l="1"/>
  <c r="B1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Prabhjeet Singh</author>
  </authors>
  <commentList>
    <comment ref="B18" authorId="0" shapeId="0" xr:uid="{38CDE05C-4EE3-461A-ACD6-707A04773DC1}">
      <text>
        <r>
          <rPr>
            <b/>
            <sz val="9"/>
            <color indexed="81"/>
            <rFont val="Tahoma"/>
            <family val="2"/>
          </rPr>
          <t>Prabhjeet Singh:</t>
        </r>
        <r>
          <rPr>
            <sz val="9"/>
            <color indexed="81"/>
            <rFont val="Tahoma"/>
            <family val="2"/>
          </rPr>
          <t xml:space="preserve">
how to assume
developed country: 2-4%
developing country: 4-6%</t>
        </r>
      </text>
    </comment>
    <comment ref="C20" authorId="0" shapeId="0" xr:uid="{ECC7D72D-CAD7-411B-A395-8A857733AB2C}">
      <text>
        <r>
          <rPr>
            <b/>
            <sz val="9"/>
            <color indexed="81"/>
            <rFont val="Tahoma"/>
            <family val="2"/>
          </rPr>
          <t>Prabhjeet Singh:</t>
        </r>
        <r>
          <rPr>
            <sz val="9"/>
            <color indexed="81"/>
            <rFont val="Tahoma"/>
            <family val="2"/>
          </rPr>
          <t xml:space="preserve">
Got from damodaran as of 05/03
</t>
        </r>
      </text>
    </comment>
    <comment ref="B101" authorId="0" shapeId="0" xr:uid="{6D3EDEC8-21F1-4313-8E6A-FE5C064E4554}">
      <text>
        <r>
          <rPr>
            <b/>
            <sz val="9"/>
            <color indexed="81"/>
            <rFont val="Tahoma"/>
            <family val="2"/>
          </rPr>
          <t>Prabhjeet Singh:</t>
        </r>
        <r>
          <rPr>
            <sz val="9"/>
            <color indexed="81"/>
            <rFont val="Tahoma"/>
            <family val="2"/>
          </rPr>
          <t xml:space="preserve">
the reason depreciation is minused and added back is cause of tax, if depreciation is not minused, it will affect the tax rate, the reason it is added because it is a non cash expense, only a paper lost but in actual the money is not paid to anyone</t>
        </r>
      </text>
    </comment>
    <comment ref="B102" authorId="0" shapeId="0" xr:uid="{D3047A30-D35B-4333-92B1-8A11CE8D82C8}">
      <text>
        <r>
          <rPr>
            <b/>
            <sz val="9"/>
            <color indexed="81"/>
            <rFont val="Tahoma"/>
            <family val="2"/>
          </rPr>
          <t>Prabhjeet Singh:</t>
        </r>
        <r>
          <rPr>
            <sz val="9"/>
            <color indexed="81"/>
            <rFont val="Tahoma"/>
            <family val="2"/>
          </rPr>
          <t xml:space="preserve">
reinvestment: the money a company must invest back into the company to keep growing or for it to survive</t>
        </r>
      </text>
    </comment>
  </commentList>
</comments>
</file>

<file path=xl/sharedStrings.xml><?xml version="1.0" encoding="utf-8"?>
<sst xmlns="http://schemas.openxmlformats.org/spreadsheetml/2006/main" count="657" uniqueCount="352">
  <si>
    <t>Fiscal year is January-December. All values MYR Millions.</t>
  </si>
  <si>
    <t>Sales/Revenue</t>
  </si>
  <si>
    <t>Sales Growth</t>
  </si>
  <si>
    <t>-</t>
  </si>
  <si>
    <t>Cost of Goods Sold (COGS) incl. D&amp;A</t>
  </si>
  <si>
    <t>COGS excluding D&amp;A</t>
  </si>
  <si>
    <t>Depreciation &amp; Amortization Expense</t>
  </si>
  <si>
    <t>Depreciation</t>
  </si>
  <si>
    <t>Amortization of Intangibles</t>
  </si>
  <si>
    <t>COGS Growth</t>
  </si>
  <si>
    <t>Gross Income</t>
  </si>
  <si>
    <t>Gross Income Growth</t>
  </si>
  <si>
    <t>Gross Profit Margin</t>
  </si>
  <si>
    <t>SG&amp;A Expense</t>
  </si>
  <si>
    <t>Other SG&amp;A</t>
  </si>
  <si>
    <t>SGA Growth</t>
  </si>
  <si>
    <t>EBIT</t>
  </si>
  <si>
    <t>Unusual Expense</t>
  </si>
  <si>
    <t>Non Operating Income/Expense</t>
  </si>
  <si>
    <t>Non-Operating Interest Income</t>
  </si>
  <si>
    <t>Interest Expense</t>
  </si>
  <si>
    <t>Interest Expense Growth</t>
  </si>
  <si>
    <t>Gross Interest Expense</t>
  </si>
  <si>
    <t>Pretax Income</t>
  </si>
  <si>
    <t>Pretax Income Growth</t>
  </si>
  <si>
    <t>Pretax Margin</t>
  </si>
  <si>
    <t>Income Tax</t>
  </si>
  <si>
    <t>Income Tax - Current Domestic</t>
  </si>
  <si>
    <t>Income Tax - Deferred Domestic</t>
  </si>
  <si>
    <t>Consolidated Net Income</t>
  </si>
  <si>
    <t>Net Income</t>
  </si>
  <si>
    <t>Net Income Growth</t>
  </si>
  <si>
    <t>Net Margin</t>
  </si>
  <si>
    <t>Net Income After Extraordinaries</t>
  </si>
  <si>
    <t>Net Income Available to Common</t>
  </si>
  <si>
    <t>EPS (Basic)</t>
  </si>
  <si>
    <t>EPS (Basic) Growth</t>
  </si>
  <si>
    <t>Basic Shares Outstanding</t>
  </si>
  <si>
    <t>EPS (Diluted)</t>
  </si>
  <si>
    <t>EPS (Diluted) Growth</t>
  </si>
  <si>
    <t>Diluted Shares Outstanding</t>
  </si>
  <si>
    <t>EBITDA</t>
  </si>
  <si>
    <t>EBITDA Growth</t>
  </si>
  <si>
    <t>EBITDA Margin</t>
  </si>
  <si>
    <t>Assets</t>
  </si>
  <si>
    <t>Cash &amp; Short Term Investments</t>
  </si>
  <si>
    <t>Cash Only</t>
  </si>
  <si>
    <t>Cash &amp; Short Term Investments Growth</t>
  </si>
  <si>
    <t>Cash &amp; ST Investments / Total Assets</t>
  </si>
  <si>
    <t>Total Accounts Receivable</t>
  </si>
  <si>
    <t>Accounts Receivables, Net</t>
  </si>
  <si>
    <t>Accounts Receivables, Gross</t>
  </si>
  <si>
    <t>Other Receivables</t>
  </si>
  <si>
    <t>Accounts Receivable Growth</t>
  </si>
  <si>
    <t>Accounts Receivable Turnover</t>
  </si>
  <si>
    <t>Inventories</t>
  </si>
  <si>
    <t>Finished Goods</t>
  </si>
  <si>
    <t>Progress Payments &amp; Other</t>
  </si>
  <si>
    <t>Other Current Assets</t>
  </si>
  <si>
    <t>Prepaid Expenses</t>
  </si>
  <si>
    <t>Miscellaneous Current Assets</t>
  </si>
  <si>
    <t>Total Current Assets</t>
  </si>
  <si>
    <t>Net Property, Plant &amp; Equipment</t>
  </si>
  <si>
    <t>Property, Plant &amp; Equipment - Gross</t>
  </si>
  <si>
    <t>Buildings</t>
  </si>
  <si>
    <t>Land &amp; Improvements</t>
  </si>
  <si>
    <t>Construction in Progress</t>
  </si>
  <si>
    <t>Transportation Equipment</t>
  </si>
  <si>
    <t>Other Property, Plant &amp; Equipment</t>
  </si>
  <si>
    <t>Accumulated Depreciation</t>
  </si>
  <si>
    <t>Intangible Assets</t>
  </si>
  <si>
    <t>Net Other Intangibles</t>
  </si>
  <si>
    <t>Total Assets</t>
  </si>
  <si>
    <t>Assets - Total - Growth</t>
  </si>
  <si>
    <t>Asset Turnover</t>
  </si>
  <si>
    <t>Return On Average Assets</t>
  </si>
  <si>
    <t>Liabilities &amp; Shareholders' Equity</t>
  </si>
  <si>
    <t>All values MYR Millions.</t>
  </si>
  <si>
    <t>ST Debt &amp; Current Portion LT Debt</t>
  </si>
  <si>
    <t>Short Term Debt</t>
  </si>
  <si>
    <t>Current Portion of Long Term Debt</t>
  </si>
  <si>
    <t>Accounts Payable</t>
  </si>
  <si>
    <t>Accounts Payable Growth</t>
  </si>
  <si>
    <t>Income Tax Payable</t>
  </si>
  <si>
    <t>Other Current Liabilities</t>
  </si>
  <si>
    <t>Dividends Payable</t>
  </si>
  <si>
    <t>Miscellaneous Current Liabilities</t>
  </si>
  <si>
    <t>Total Current Liabilities</t>
  </si>
  <si>
    <t>Current Ratio</t>
  </si>
  <si>
    <t>Quick Ratio</t>
  </si>
  <si>
    <t>Cash Ratio</t>
  </si>
  <si>
    <t>Long-Term Debt</t>
  </si>
  <si>
    <t>Long-Term Debt excl. Capitalized Leases</t>
  </si>
  <si>
    <t>Non-Convertible Debt</t>
  </si>
  <si>
    <t>Provision for Risks &amp; Charges</t>
  </si>
  <si>
    <t>Deferred Taxes</t>
  </si>
  <si>
    <t>Deferred Taxes - Credit</t>
  </si>
  <si>
    <t>Deferred Taxes - Debit</t>
  </si>
  <si>
    <t>Total Liabilities</t>
  </si>
  <si>
    <t>Total Liabilities / Total Assets</t>
  </si>
  <si>
    <t>Common Equity (Total)</t>
  </si>
  <si>
    <t>Common Stock Par/Carry Value</t>
  </si>
  <si>
    <t>Retained Earnings</t>
  </si>
  <si>
    <t>Cumulative Translation Adjustment/Unrealized For. Exch. Gain</t>
  </si>
  <si>
    <t>Common Equity / Total Assets</t>
  </si>
  <si>
    <t>Total Shareholders' Equity</t>
  </si>
  <si>
    <t>Total Shareholders' Equity / Total Assets</t>
  </si>
  <si>
    <t>Total Equity</t>
  </si>
  <si>
    <t>P/L Statement</t>
  </si>
  <si>
    <t>Balance Sheet</t>
  </si>
  <si>
    <t>Other Long-Term Liabilities (Provisions/Deferred Taxes)</t>
  </si>
  <si>
    <t>Liabilities</t>
  </si>
  <si>
    <t>Shareholders' Equity</t>
  </si>
  <si>
    <t>in MYR (Millions)</t>
  </si>
  <si>
    <t>99 SpeedMart Financial Statement Analysis</t>
  </si>
  <si>
    <t>Horizontol Analysis</t>
  </si>
  <si>
    <t>Vertical Analysis</t>
  </si>
  <si>
    <t>Revenue growth % (y-o-y)</t>
  </si>
  <si>
    <t>Earnings growth %</t>
  </si>
  <si>
    <t>GP%</t>
  </si>
  <si>
    <t>EBIT %</t>
  </si>
  <si>
    <t>NP %</t>
  </si>
  <si>
    <t>ROA</t>
  </si>
  <si>
    <t>ROE</t>
  </si>
  <si>
    <t>Inventory Turnover</t>
  </si>
  <si>
    <t>Receivable Turnover</t>
  </si>
  <si>
    <t>Payable Turnover</t>
  </si>
  <si>
    <t>Quick ratio</t>
  </si>
  <si>
    <t>Current ratio</t>
  </si>
  <si>
    <t>Debt ratio</t>
  </si>
  <si>
    <t>Debt-equity</t>
  </si>
  <si>
    <t>Interest Coverage</t>
  </si>
  <si>
    <t>Leverage Ratio</t>
  </si>
  <si>
    <t>Liquidity Ratio</t>
  </si>
  <si>
    <t>Efficiency Ratio</t>
  </si>
  <si>
    <t>Profitability Ratio</t>
  </si>
  <si>
    <t>Growth Ratio</t>
  </si>
  <si>
    <t>Discounted Cash Flow (DCF)</t>
  </si>
  <si>
    <t>Company Overview</t>
  </si>
  <si>
    <t>99 Speedmart is a retail chain, specifically a mini-supermarket chain focusing on groceries and daily neccessities</t>
  </si>
  <si>
    <t>Total Store Count: 3,000+ outlets across Malaysia</t>
  </si>
  <si>
    <t>Key Assumptions &amp; Methodology</t>
  </si>
  <si>
    <t>Parameter</t>
  </si>
  <si>
    <t>Value</t>
  </si>
  <si>
    <t>Rationale</t>
  </si>
  <si>
    <t>Valuation Date</t>
  </si>
  <si>
    <t>Projection Period</t>
  </si>
  <si>
    <t>Revenue</t>
  </si>
  <si>
    <t>Revenue Growth%</t>
  </si>
  <si>
    <t>Annual Growth Tapering</t>
  </si>
  <si>
    <t>Terminal Growth Rate</t>
  </si>
  <si>
    <t>Risk-Free Rate (Rf)</t>
  </si>
  <si>
    <t>Equity Risk Premium (ERP)</t>
  </si>
  <si>
    <t>Tax Rate</t>
  </si>
  <si>
    <t>Financial Performance (RM Million)</t>
  </si>
  <si>
    <t>SG&amp;A Expense (include D&amp;A)</t>
  </si>
  <si>
    <t>Particulars</t>
  </si>
  <si>
    <t>Sales</t>
  </si>
  <si>
    <t>% growth</t>
  </si>
  <si>
    <t>Cost of Goods Sold</t>
  </si>
  <si>
    <t>% of revenue</t>
  </si>
  <si>
    <t>Gross Profit</t>
  </si>
  <si>
    <t>% margin</t>
  </si>
  <si>
    <t>Operating Expenses</t>
  </si>
  <si>
    <t>% of net sales</t>
  </si>
  <si>
    <t>Other Income</t>
  </si>
  <si>
    <t>Interest</t>
  </si>
  <si>
    <t>% of debt</t>
  </si>
  <si>
    <t>Profit before tax</t>
  </si>
  <si>
    <t>Tax</t>
  </si>
  <si>
    <t>% of PBT</t>
  </si>
  <si>
    <t>Net profit</t>
  </si>
  <si>
    <t>Income Statement</t>
  </si>
  <si>
    <t>Revenue Projection &amp; Growth Assumption</t>
  </si>
  <si>
    <t>Top-down industry trends (retail sector growing at 7.0%, + market leader premium)</t>
  </si>
  <si>
    <t>Year</t>
  </si>
  <si>
    <t>FY26</t>
  </si>
  <si>
    <t>FY27</t>
  </si>
  <si>
    <t>FY28</t>
  </si>
  <si>
    <t>FY29</t>
  </si>
  <si>
    <t>FY30</t>
  </si>
  <si>
    <t>Revenue Growth %</t>
  </si>
  <si>
    <t>Revenue (in Crs.)</t>
  </si>
  <si>
    <t>Chosen Scenario:</t>
  </si>
  <si>
    <t>Base Case</t>
  </si>
  <si>
    <t>Best Case</t>
  </si>
  <si>
    <t>Worst Case</t>
  </si>
  <si>
    <t>Free Cash Flow Projections (RM Million)</t>
  </si>
  <si>
    <t>EBITDA Margin %</t>
  </si>
  <si>
    <t>Less: Depreciation</t>
  </si>
  <si>
    <t>Less: Tax</t>
  </si>
  <si>
    <t>NOPAT</t>
  </si>
  <si>
    <t>Add: Depreciation</t>
  </si>
  <si>
    <t>Less: Reinvestment</t>
  </si>
  <si>
    <t>Free Cash Flow to Firm</t>
  </si>
  <si>
    <t>Non-Operating Income</t>
  </si>
  <si>
    <t>Calculaton for Non-Operating Expense</t>
  </si>
  <si>
    <t>Management plans to open 250 shops annually</t>
  </si>
  <si>
    <t>No of shops as of 2024: 2778</t>
  </si>
  <si>
    <t>Store Expansion</t>
  </si>
  <si>
    <t>No of Outlets</t>
  </si>
  <si>
    <t>Growth Rate</t>
  </si>
  <si>
    <t>Operating Activities</t>
  </si>
  <si>
    <t>Fiscal year is January-December. All values MYR Thousands.</t>
  </si>
  <si>
    <t>5-year trend</t>
  </si>
  <si>
    <t>Net Income before Extraordinaries</t>
  </si>
  <si>
    <t>Depreciation, Depletion &amp; Amortization</t>
  </si>
  <si>
    <t>Depreciation and Depletion</t>
  </si>
  <si>
    <t>Amortization of Intangible Assets</t>
  </si>
  <si>
    <t>Other Funds</t>
  </si>
  <si>
    <t>Funds from Operations</t>
  </si>
  <si>
    <t>Changes in Working Capital</t>
  </si>
  <si>
    <t>Receivables</t>
  </si>
  <si>
    <t>Other Assets/Liabilities</t>
  </si>
  <si>
    <t>Net Operating Cash Flow</t>
  </si>
  <si>
    <t>Net Operating Cash Flow Growth</t>
  </si>
  <si>
    <t>Net Operating Cash Flow / Sales</t>
  </si>
  <si>
    <t>Investing Activities</t>
  </si>
  <si>
    <t>All values MYR Thousands.</t>
  </si>
  <si>
    <t>Capital Expenditures</t>
  </si>
  <si>
    <t>Capital Expenditures (Fixed Assets)</t>
  </si>
  <si>
    <t>Capital Expenditures (Other Assets)</t>
  </si>
  <si>
    <t>Capital Expenditures Growth</t>
  </si>
  <si>
    <t>Capital Expenditures / Sales</t>
  </si>
  <si>
    <t>Sale of Fixed Assets &amp; Businesses</t>
  </si>
  <si>
    <t>Purchase/Sale of Investments</t>
  </si>
  <si>
    <t>Purchase of Investments</t>
  </si>
  <si>
    <t>Sale/Maturity of Investments</t>
  </si>
  <si>
    <t>Other Uses</t>
  </si>
  <si>
    <t>Other Sources</t>
  </si>
  <si>
    <t>Net Investing Cash Flow</t>
  </si>
  <si>
    <t>Net Investing Cash Flow Growth</t>
  </si>
  <si>
    <t>Net Investing Cash Flow / Sales</t>
  </si>
  <si>
    <t>Financing Activities</t>
  </si>
  <si>
    <t>Cash Dividends Paid - Total</t>
  </si>
  <si>
    <t>Common Dividends</t>
  </si>
  <si>
    <t>Change in Capital Stock</t>
  </si>
  <si>
    <t>Sale of Common &amp; Preferred Stock</t>
  </si>
  <si>
    <t>Proceeds from Stock Options</t>
  </si>
  <si>
    <t>Issuance/Reduction of Debt, Net</t>
  </si>
  <si>
    <t>Net Financing Cash Flow</t>
  </si>
  <si>
    <t>Net Financing Cash Flow Growth</t>
  </si>
  <si>
    <t>Net Financing Cash Flow / Sales</t>
  </si>
  <si>
    <t>Exchange Rate Effect</t>
  </si>
  <si>
    <t>Net Change in Cash</t>
  </si>
  <si>
    <t>Free Cash Flow</t>
  </si>
  <si>
    <t>Free Cash Flow Growth</t>
  </si>
  <si>
    <t>Free Cash Flow Yield</t>
  </si>
  <si>
    <t>Cash Flow</t>
  </si>
  <si>
    <t xml:space="preserve">Working Capital </t>
  </si>
  <si>
    <t>Changes in working capital</t>
  </si>
  <si>
    <t>Capex: management allocated 170-190 million</t>
  </si>
  <si>
    <t>Reinvestment rate</t>
  </si>
  <si>
    <t>WACC Calculation</t>
  </si>
  <si>
    <t xml:space="preserve">Target Capital Structure </t>
  </si>
  <si>
    <t>Proportion of Debt</t>
  </si>
  <si>
    <t>Proportion of Equity</t>
  </si>
  <si>
    <t>Current Capital Structure</t>
  </si>
  <si>
    <t>Market Cap</t>
  </si>
  <si>
    <t>Total Debt</t>
  </si>
  <si>
    <t>Debt / Equity</t>
  </si>
  <si>
    <t>Cost of Debt</t>
  </si>
  <si>
    <t>Pre-Tax Cost of Debt</t>
  </si>
  <si>
    <t>After-Tax Cost of Debt</t>
  </si>
  <si>
    <t>Cost of Equity</t>
  </si>
  <si>
    <t>Risk Free Rate</t>
  </si>
  <si>
    <t>Equity Risk Premium</t>
  </si>
  <si>
    <t>Levered Equity Beta</t>
  </si>
  <si>
    <t>WACC</t>
  </si>
  <si>
    <t>Company</t>
  </si>
  <si>
    <t>Ticker</t>
  </si>
  <si>
    <t>Price</t>
  </si>
  <si>
    <t>Beta</t>
  </si>
  <si>
    <t>Cash &amp; Cash Equivalents</t>
  </si>
  <si>
    <t>EV/EBITDA</t>
  </si>
  <si>
    <t>P/E</t>
  </si>
  <si>
    <t>99 Speed Mart Retail Holdings Berhad </t>
  </si>
  <si>
    <t>5326.KL</t>
  </si>
  <si>
    <t>Eco-Shop Marketing Berhad</t>
  </si>
  <si>
    <t>5296.KL</t>
  </si>
  <si>
    <t>AEON Co. (Malaysia) Bhd.</t>
  </si>
  <si>
    <t>Comps Data (Million)</t>
  </si>
  <si>
    <t>6599.KL</t>
  </si>
  <si>
    <t>7-Eleven Malaysia Holdings Bhd</t>
  </si>
  <si>
    <t>CCK Consolidated Holdings Bhd.</t>
  </si>
  <si>
    <t>5250.KL</t>
  </si>
  <si>
    <t>7035.KL</t>
  </si>
  <si>
    <t>Industry Beta</t>
  </si>
  <si>
    <t>Equity</t>
  </si>
  <si>
    <t xml:space="preserve">Total </t>
  </si>
  <si>
    <t>Debt/</t>
  </si>
  <si>
    <t>Levered</t>
  </si>
  <si>
    <t>Unlevered</t>
  </si>
  <si>
    <t>Company Name</t>
  </si>
  <si>
    <t>Debt</t>
  </si>
  <si>
    <t>Capital</t>
  </si>
  <si>
    <t>Rate %</t>
  </si>
  <si>
    <t>Average</t>
  </si>
  <si>
    <t>Median</t>
  </si>
  <si>
    <t>Cost of debt</t>
  </si>
  <si>
    <t>Interest Expense (RM mil)</t>
  </si>
  <si>
    <t>Total Debt (year‑end, RM mil)</t>
  </si>
  <si>
    <t>Average Debt</t>
  </si>
  <si>
    <t>Malaysian 10-Year Government Bond Yield</t>
  </si>
  <si>
    <t>Expected return over risk-free rate for invetors</t>
  </si>
  <si>
    <t>Effective tax rate based on historical data</t>
  </si>
  <si>
    <t>Terminal Value Calculation</t>
  </si>
  <si>
    <t>Terminal Year FCF (FY30)</t>
  </si>
  <si>
    <t>Terminal Growth Rate (g)</t>
  </si>
  <si>
    <t>Terminal Value = FCF × (1+g) / (WACC - g)</t>
  </si>
  <si>
    <t>Terminal Value</t>
  </si>
  <si>
    <t xml:space="preserve">Conservative long-term growth </t>
  </si>
  <si>
    <t>Terminal Value (million)</t>
  </si>
  <si>
    <t>Present Value Calculation</t>
  </si>
  <si>
    <t>FY26E</t>
  </si>
  <si>
    <t>FY27E</t>
  </si>
  <si>
    <t>FY28E</t>
  </si>
  <si>
    <t>FY29E</t>
  </si>
  <si>
    <t>FY30E</t>
  </si>
  <si>
    <t>Discount Factor</t>
  </si>
  <si>
    <t>PV of FCF (RM Million)</t>
  </si>
  <si>
    <t>FCF (RM Million)</t>
  </si>
  <si>
    <t>DCF Valuation Summary</t>
  </si>
  <si>
    <t>Sum of PV of FCF (FY26-30)</t>
  </si>
  <si>
    <t>PV of Terminal Value</t>
  </si>
  <si>
    <t>Enterprise Value</t>
  </si>
  <si>
    <t>Less: Net Debt</t>
  </si>
  <si>
    <t>Add: Cash &amp; Investments</t>
  </si>
  <si>
    <t>Equity Value</t>
  </si>
  <si>
    <t>Shares Outstanding</t>
  </si>
  <si>
    <t>Fair Value per Share</t>
  </si>
  <si>
    <t>Current Market Price</t>
  </si>
  <si>
    <t>Upside/Downside</t>
  </si>
  <si>
    <t>Sensitivity Analysis</t>
  </si>
  <si>
    <t>Terminal Growth/WACC</t>
  </si>
  <si>
    <t>Key Risks &amp; Considerations</t>
  </si>
  <si>
    <t>Upside Risks:</t>
  </si>
  <si>
    <r>
      <rPr>
        <b/>
        <sz val="11"/>
        <color theme="1"/>
        <rFont val="Calibri"/>
        <family val="2"/>
        <scheme val="minor"/>
      </rPr>
      <t>Faster Store Expansion</t>
    </r>
    <r>
      <rPr>
        <sz val="11"/>
        <color theme="1"/>
        <rFont val="Calibri"/>
        <family val="2"/>
        <scheme val="minor"/>
      </rPr>
      <t>: Management targets ~250 new outlets annually, but there is a chance of achieving a higher number of outlets if market conditions are favourable, especially in underpenetrated regions like East Malaysia and the East Coast.</t>
    </r>
  </si>
  <si>
    <r>
      <rPr>
        <b/>
        <sz val="11"/>
        <color theme="1"/>
        <rFont val="Calibri"/>
        <family val="2"/>
        <scheme val="minor"/>
      </rPr>
      <t xml:space="preserve">Private Label Growth: </t>
    </r>
    <r>
      <rPr>
        <sz val="11"/>
        <color theme="1"/>
        <rFont val="Calibri"/>
        <family val="2"/>
        <scheme val="minor"/>
      </rPr>
      <t>Private label products typically carry higher margins. If 99 SpeedMart expands its own-brand offerings, gross margins could improve.</t>
    </r>
  </si>
  <si>
    <r>
      <t>99 Bulksales Acceleration</t>
    </r>
    <r>
      <rPr>
        <sz val="11"/>
        <color theme="1"/>
        <rFont val="Calibri"/>
        <family val="2"/>
        <scheme val="minor"/>
      </rPr>
      <t>: The e-commerce platform (99 Bulksales) could grow faster than expected, especially as it expamds to new regions, adding incremental revenue with minimal capex</t>
    </r>
  </si>
  <si>
    <t>Downside Risks:</t>
  </si>
  <si>
    <r>
      <rPr>
        <b/>
        <sz val="11"/>
        <color theme="1"/>
        <rFont val="Calibri"/>
        <family val="2"/>
        <scheme val="minor"/>
      </rPr>
      <t>Intensifying Competition</t>
    </r>
    <r>
      <rPr>
        <sz val="11"/>
        <color theme="1"/>
        <rFont val="Calibri"/>
        <family val="2"/>
        <scheme val="minor"/>
      </rPr>
      <t>: Competitors like KK Super Mart, 7-Eleven, and Family Mart are expanding. New entrants or aggressive pricing wars could pressure same-store sales growth and margins</t>
    </r>
  </si>
  <si>
    <r>
      <rPr>
        <b/>
        <sz val="11"/>
        <color theme="1"/>
        <rFont val="Calibri"/>
        <family val="2"/>
        <scheme val="minor"/>
      </rPr>
      <t>Store Saturation Risk</t>
    </r>
    <r>
      <rPr>
        <sz val="11"/>
        <color theme="1"/>
        <rFont val="Calibri"/>
        <family val="2"/>
        <scheme val="minor"/>
      </rPr>
      <t xml:space="preserve">: Management targets 250 new outlets annually, but Malaysia has a finite number of viable locations. As the network approaches 3500-4000 outlets, finding high-traffic locations at reasonable rents becomes harder. 99 Speedmart's revenue may taper faster than projected. </t>
    </r>
  </si>
  <si>
    <r>
      <t>Inflation &amp; Cost Pressure</t>
    </r>
    <r>
      <rPr>
        <sz val="11"/>
        <color theme="1"/>
        <rFont val="Calibri"/>
        <family val="2"/>
        <scheme val="minor"/>
      </rPr>
      <t xml:space="preserve">: Rising minimum wage, utility tariffs, and fuel costs could increase operating expenses. 99 Speedmart's SG&amp;A as a % of revenue may increase, compressing EBITDA margins further into negative territory. </t>
    </r>
  </si>
  <si>
    <t>Conclusion &amp; Recommendation</t>
  </si>
  <si>
    <t>Based on the Discounted Cash Flow (DCF) Analysis, 99 Speedmart Retail Holdings Bhd's intrinsic value is estimated at approximately RM7.87 per share, compared to the current market price of RM3.47 per share. This suggests the stock is trading at a significant discount of approximately 127% to its estimated fair value.</t>
  </si>
  <si>
    <t>* Existing shareholders may continue to hold</t>
  </si>
  <si>
    <t>* New investors could consider accumulating at current levels, but should closely monitor key performance indicators</t>
  </si>
  <si>
    <t>Key FIndings</t>
  </si>
  <si>
    <t>The company has demonstaretd growth with revenue CAGR of ~6.5% from FY26-FY30</t>
  </si>
  <si>
    <t>Post-IPO, the company holds significant cash and minimal net debt, reducing financial risk and supporting future expansion.</t>
  </si>
  <si>
    <t xml:space="preserve">The DCF valuation suggests the stock is undervalued by the market, offering a potential upside of more than 100% if the projected cash flow materialize.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</si>
</sst>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x"/>
    <numFmt numFmtId="166" formatCode=";;;"/>
    <numFmt numFmtId="167" formatCode="0.0000"/>
    <numFmt numFmtId="168" formatCode="_-* #,##0_-;\-* #,##0_-;_-* &quot;-&quot;??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6"/>
      <color rgb="FF00B050"/>
      <name val="Calibri"/>
      <family val="2"/>
      <scheme val="minor"/>
    </font>
    <font>
      <b/>
      <sz val="20"/>
      <color rgb="FFFFC000"/>
      <name val="Calibri"/>
      <family val="2"/>
      <scheme val="minor"/>
    </font>
    <font>
      <b/>
      <sz val="11"/>
      <color rgb="FFFFC000"/>
      <name val="Calibri"/>
      <family val="2"/>
      <scheme val="minor"/>
    </font>
    <font>
      <b/>
      <sz val="18"/>
      <color rgb="FF00B050"/>
      <name val="Calibri"/>
      <family val="2"/>
      <scheme val="minor"/>
    </font>
    <font>
      <sz val="9"/>
      <color theme="1"/>
      <name val="Arial Nova"/>
      <family val="2"/>
    </font>
    <font>
      <b/>
      <sz val="9"/>
      <color theme="1"/>
      <name val="Arial Nova"/>
      <family val="2"/>
    </font>
    <font>
      <b/>
      <sz val="22"/>
      <color theme="1"/>
      <name val="Calibri"/>
      <family val="2"/>
      <scheme val="minor"/>
    </font>
    <font>
      <b/>
      <sz val="16"/>
      <color theme="1"/>
      <name val="Calibri"/>
      <family val="2"/>
      <scheme val="minor"/>
    </font>
    <font>
      <b/>
      <sz val="9"/>
      <color indexed="81"/>
      <name val="Tahoma"/>
      <family val="2"/>
    </font>
    <font>
      <sz val="9"/>
      <color indexed="81"/>
      <name val="Tahoma"/>
      <family val="2"/>
    </font>
    <font>
      <b/>
      <sz val="14"/>
      <color theme="0"/>
      <name val="Calibri"/>
      <family val="2"/>
      <scheme val="minor"/>
    </font>
    <font>
      <b/>
      <u/>
      <sz val="11"/>
      <color theme="1"/>
      <name val="Calibri"/>
      <family val="2"/>
      <scheme val="minor"/>
    </font>
    <font>
      <i/>
      <sz val="11"/>
      <color theme="1"/>
      <name val="Calibri"/>
      <family val="2"/>
      <scheme val="minor"/>
    </font>
    <font>
      <b/>
      <sz val="11"/>
      <color theme="0"/>
      <name val="Calibri"/>
      <family val="2"/>
      <scheme val="minor"/>
    </font>
    <font>
      <sz val="11"/>
      <color theme="1"/>
      <name val="Arial"/>
      <family val="2"/>
    </font>
    <font>
      <b/>
      <sz val="12"/>
      <color theme="0"/>
      <name val="Calibri"/>
      <family val="2"/>
      <scheme val="minor"/>
    </font>
    <font>
      <b/>
      <sz val="11"/>
      <color theme="1"/>
      <name val="Arial"/>
      <family val="2"/>
    </font>
    <font>
      <b/>
      <sz val="13"/>
      <color rgb="FF1A1A1A"/>
      <name val="Arial"/>
      <family val="2"/>
    </font>
    <font>
      <sz val="16"/>
      <color rgb="FF000000"/>
      <name val="Arial"/>
      <family val="2"/>
    </font>
    <font>
      <sz val="14"/>
      <color rgb="FF000000"/>
      <name val="Arial"/>
      <family val="2"/>
    </font>
    <font>
      <sz val="19"/>
      <color rgb="FF0066CC"/>
      <name val="Arial"/>
      <family val="2"/>
    </font>
    <font>
      <b/>
      <sz val="14"/>
      <color theme="1"/>
      <name val="Arial"/>
      <family val="2"/>
    </font>
    <font>
      <sz val="11"/>
      <color rgb="FF00B050"/>
      <name val="Calibri"/>
      <family val="2"/>
      <scheme val="minor"/>
    </font>
    <font>
      <b/>
      <sz val="14"/>
      <color theme="1"/>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50"/>
        <bgColor indexed="64"/>
      </patternFill>
    </fill>
    <fill>
      <patternFill patternType="solid">
        <fgColor theme="1"/>
        <bgColor indexed="64"/>
      </patternFill>
    </fill>
    <fill>
      <patternFill patternType="solid">
        <fgColor rgb="FFFFFACD"/>
        <bgColor rgb="FFFFFACD"/>
      </patternFill>
    </fill>
    <fill>
      <patternFill patternType="solid">
        <fgColor theme="7" tint="0.79998168889431442"/>
        <bgColor indexed="64"/>
      </patternFill>
    </fill>
    <fill>
      <patternFill patternType="solid">
        <fgColor rgb="FFE8F4F8"/>
        <bgColor rgb="FFE8F4F8"/>
      </patternFill>
    </fill>
    <fill>
      <patternFill patternType="solid">
        <fgColor rgb="FFD4EDDA"/>
        <bgColor rgb="FFD4EDDA"/>
      </patternFill>
    </fill>
    <fill>
      <patternFill patternType="solid">
        <fgColor theme="7" tint="0.79998168889431442"/>
        <bgColor rgb="FFFFFACD"/>
      </patternFill>
    </fill>
  </fills>
  <borders count="20">
    <border>
      <left/>
      <right/>
      <top/>
      <bottom/>
      <diagonal/>
    </border>
    <border>
      <left/>
      <right/>
      <top/>
      <bottom style="medium">
        <color rgb="FF92D050"/>
      </bottom>
      <diagonal/>
    </border>
    <border>
      <left/>
      <right/>
      <top style="hair">
        <color auto="1"/>
      </top>
      <bottom style="hair">
        <color auto="1"/>
      </bottom>
      <diagonal/>
    </border>
    <border>
      <left/>
      <right/>
      <top style="hair">
        <color auto="1"/>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theme="0" tint="-4.9989318521683403E-2"/>
      </left>
      <right style="medium">
        <color theme="0" tint="-4.9989318521683403E-2"/>
      </right>
      <top style="medium">
        <color theme="0" tint="-4.9989318521683403E-2"/>
      </top>
      <bottom/>
      <diagonal/>
    </border>
    <border>
      <left style="medium">
        <color theme="0" tint="-4.9989318521683403E-2"/>
      </left>
      <right style="medium">
        <color theme="0" tint="-4.9989318521683403E-2"/>
      </right>
      <top/>
      <bottom/>
      <diagonal/>
    </border>
    <border>
      <left style="medium">
        <color theme="0" tint="-4.9989318521683403E-2"/>
      </left>
      <right style="medium">
        <color theme="0" tint="-4.9989318521683403E-2"/>
      </right>
      <top/>
      <bottom style="medium">
        <color theme="0" tint="-4.9989318521683403E-2"/>
      </bottom>
      <diagonal/>
    </border>
    <border>
      <left/>
      <right/>
      <top style="medium">
        <color theme="0" tint="-4.9989318521683403E-2"/>
      </top>
      <bottom style="medium">
        <color theme="0" tint="-4.9989318521683403E-2"/>
      </bottom>
      <diagonal/>
    </border>
    <border>
      <left/>
      <right style="medium">
        <color theme="0" tint="-4.9989318521683403E-2"/>
      </right>
      <top style="medium">
        <color theme="0" tint="-4.9989318521683403E-2"/>
      </top>
      <bottom style="medium">
        <color theme="0" tint="-4.9989318521683403E-2"/>
      </bottom>
      <diagonal/>
    </border>
    <border>
      <left/>
      <right/>
      <top style="medium">
        <color theme="0" tint="-4.9989318521683403E-2"/>
      </top>
      <bottom/>
      <diagonal/>
    </border>
    <border>
      <left/>
      <right style="medium">
        <color theme="0" tint="-4.9989318521683403E-2"/>
      </right>
      <top style="medium">
        <color theme="0" tint="-4.9989318521683403E-2"/>
      </top>
      <bottom/>
      <diagonal/>
    </border>
    <border>
      <left/>
      <right style="medium">
        <color theme="0" tint="-4.9989318521683403E-2"/>
      </right>
      <top/>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style="medium">
        <color theme="0" tint="-4.9989318521683403E-2"/>
      </left>
      <right/>
      <top style="medium">
        <color theme="0" tint="-4.9989318521683403E-2"/>
      </top>
      <bottom style="medium">
        <color theme="0" tint="-4.9989318521683403E-2"/>
      </bottom>
      <diagonal/>
    </border>
    <border>
      <left style="medium">
        <color theme="0" tint="-4.9989318521683403E-2"/>
      </left>
      <right/>
      <top/>
      <bottom style="medium">
        <color theme="0" tint="-4.9989318521683403E-2"/>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35">
    <xf numFmtId="0" fontId="0" fillId="0" borderId="0" xfId="0"/>
    <xf numFmtId="3" fontId="0" fillId="0" borderId="0" xfId="0" applyNumberFormat="1"/>
    <xf numFmtId="10" fontId="0" fillId="0" borderId="0" xfId="0" applyNumberFormat="1"/>
    <xf numFmtId="0" fontId="0" fillId="3" borderId="0" xfId="0" applyFill="1"/>
    <xf numFmtId="0" fontId="3" fillId="3" borderId="0" xfId="0" applyFont="1" applyFill="1"/>
    <xf numFmtId="0" fontId="2" fillId="2" borderId="0" xfId="0" applyFont="1" applyFill="1"/>
    <xf numFmtId="3" fontId="2" fillId="2" borderId="0" xfId="0" applyNumberFormat="1" applyFont="1" applyFill="1"/>
    <xf numFmtId="0" fontId="2" fillId="0" borderId="0" xfId="0" applyFont="1"/>
    <xf numFmtId="0" fontId="4" fillId="0" borderId="0" xfId="0" applyFont="1"/>
    <xf numFmtId="0" fontId="5" fillId="0" borderId="1" xfId="0" applyFont="1" applyBorder="1"/>
    <xf numFmtId="0" fontId="0" fillId="0" borderId="1" xfId="0" applyBorder="1"/>
    <xf numFmtId="0" fontId="6" fillId="0" borderId="0" xfId="0" applyFont="1"/>
    <xf numFmtId="0" fontId="7" fillId="0" borderId="0" xfId="0" applyFont="1"/>
    <xf numFmtId="0" fontId="8" fillId="0" borderId="0" xfId="0" applyFont="1"/>
    <xf numFmtId="9" fontId="0" fillId="0" borderId="0" xfId="1" applyFont="1" applyBorder="1"/>
    <xf numFmtId="9" fontId="2" fillId="2" borderId="0" xfId="1" applyFont="1" applyFill="1" applyBorder="1"/>
    <xf numFmtId="9" fontId="0" fillId="0" borderId="1" xfId="1" applyFont="1" applyBorder="1"/>
    <xf numFmtId="0" fontId="9" fillId="4" borderId="0" xfId="0" applyFont="1" applyFill="1"/>
    <xf numFmtId="0" fontId="9" fillId="4" borderId="2" xfId="0" applyFont="1" applyFill="1" applyBorder="1"/>
    <xf numFmtId="0" fontId="10" fillId="4" borderId="2" xfId="0" applyFont="1" applyFill="1" applyBorder="1"/>
    <xf numFmtId="0" fontId="10" fillId="4" borderId="0" xfId="0" applyFont="1" applyFill="1"/>
    <xf numFmtId="0" fontId="9" fillId="4" borderId="2" xfId="0" applyFont="1" applyFill="1" applyBorder="1" applyAlignment="1">
      <alignment horizontal="left" indent="1"/>
    </xf>
    <xf numFmtId="164" fontId="9" fillId="4" borderId="2" xfId="0" applyNumberFormat="1" applyFont="1" applyFill="1" applyBorder="1"/>
    <xf numFmtId="9" fontId="9" fillId="4" borderId="2" xfId="0" applyNumberFormat="1" applyFont="1" applyFill="1" applyBorder="1"/>
    <xf numFmtId="165" fontId="9" fillId="4" borderId="2" xfId="0" applyNumberFormat="1" applyFont="1" applyFill="1" applyBorder="1"/>
    <xf numFmtId="4" fontId="9" fillId="4" borderId="2" xfId="0" applyNumberFormat="1" applyFont="1" applyFill="1" applyBorder="1"/>
    <xf numFmtId="4" fontId="9" fillId="5" borderId="3" xfId="0" applyNumberFormat="1" applyFont="1" applyFill="1" applyBorder="1"/>
    <xf numFmtId="9" fontId="9" fillId="4" borderId="2" xfId="1" applyFont="1" applyFill="1" applyBorder="1"/>
    <xf numFmtId="0" fontId="11" fillId="0" borderId="0" xfId="0" applyFont="1"/>
    <xf numFmtId="0" fontId="12" fillId="0" borderId="0" xfId="0" applyFont="1"/>
    <xf numFmtId="0" fontId="0" fillId="6" borderId="0" xfId="0" applyFill="1"/>
    <xf numFmtId="0" fontId="2" fillId="0" borderId="0" xfId="0" applyFont="1" applyAlignment="1">
      <alignment horizontal="left" vertical="center"/>
    </xf>
    <xf numFmtId="0" fontId="12" fillId="0" borderId="0" xfId="0" applyFont="1" applyAlignment="1">
      <alignment horizontal="left" vertical="center"/>
    </xf>
    <xf numFmtId="0" fontId="0" fillId="7" borderId="0" xfId="0" applyFill="1"/>
    <xf numFmtId="9" fontId="0" fillId="0" borderId="0" xfId="1" applyFont="1"/>
    <xf numFmtId="3" fontId="2" fillId="0" borderId="0" xfId="0" applyNumberFormat="1" applyFont="1"/>
    <xf numFmtId="0" fontId="15" fillId="6" borderId="0" xfId="0" applyFont="1" applyFill="1"/>
    <xf numFmtId="9" fontId="0" fillId="0" borderId="0" xfId="0" applyNumberFormat="1"/>
    <xf numFmtId="0" fontId="0" fillId="0" borderId="5" xfId="0" applyBorder="1"/>
    <xf numFmtId="0" fontId="0" fillId="0" borderId="6" xfId="0" applyBorder="1"/>
    <xf numFmtId="0" fontId="0" fillId="0" borderId="4" xfId="0" applyBorder="1"/>
    <xf numFmtId="0" fontId="2" fillId="0" borderId="9" xfId="0" applyFont="1" applyBorder="1" applyAlignment="1">
      <alignment horizontal="left" vertical="center"/>
    </xf>
    <xf numFmtId="0" fontId="17" fillId="0" borderId="9" xfId="0" applyFont="1" applyBorder="1" applyAlignment="1">
      <alignment horizontal="left" vertical="center"/>
    </xf>
    <xf numFmtId="0" fontId="17" fillId="0" borderId="10" xfId="0" quotePrefix="1" applyFont="1" applyBorder="1" applyAlignment="1">
      <alignment horizontal="left" vertical="center"/>
    </xf>
    <xf numFmtId="0" fontId="2" fillId="0" borderId="7" xfId="0" applyFont="1" applyBorder="1" applyAlignment="1">
      <alignment horizontal="left" vertical="center"/>
    </xf>
    <xf numFmtId="0" fontId="16" fillId="0" borderId="10" xfId="0" applyFont="1" applyBorder="1" applyAlignment="1">
      <alignment horizontal="left" vertical="center"/>
    </xf>
    <xf numFmtId="0" fontId="0" fillId="0" borderId="7" xfId="0" applyBorder="1"/>
    <xf numFmtId="0" fontId="0" fillId="0" borderId="12" xfId="0" applyBorder="1"/>
    <xf numFmtId="0" fontId="17" fillId="0" borderId="7" xfId="0" quotePrefix="1" applyFont="1" applyBorder="1" applyAlignment="1">
      <alignment horizontal="left" vertical="center"/>
    </xf>
    <xf numFmtId="9" fontId="0" fillId="0" borderId="9" xfId="0" applyNumberFormat="1" applyBorder="1"/>
    <xf numFmtId="9" fontId="0" fillId="0" borderId="15" xfId="0" applyNumberFormat="1" applyBorder="1"/>
    <xf numFmtId="9" fontId="0" fillId="0" borderId="7" xfId="0" applyNumberFormat="1" applyBorder="1"/>
    <xf numFmtId="9" fontId="0" fillId="0" borderId="10" xfId="0" applyNumberFormat="1" applyBorder="1"/>
    <xf numFmtId="9" fontId="0" fillId="0" borderId="11" xfId="0" applyNumberFormat="1" applyBorder="1"/>
    <xf numFmtId="9" fontId="0" fillId="0" borderId="12" xfId="0" applyNumberFormat="1" applyBorder="1"/>
    <xf numFmtId="9" fontId="0" fillId="0" borderId="18" xfId="0" applyNumberFormat="1" applyBorder="1"/>
    <xf numFmtId="166" fontId="0" fillId="0" borderId="11" xfId="0" applyNumberFormat="1" applyBorder="1"/>
    <xf numFmtId="9" fontId="0" fillId="0" borderId="7" xfId="1" applyFont="1" applyBorder="1"/>
    <xf numFmtId="9" fontId="0" fillId="0" borderId="11" xfId="1" applyFont="1" applyBorder="1"/>
    <xf numFmtId="9" fontId="0" fillId="0" borderId="12" xfId="1" applyFont="1" applyBorder="1"/>
    <xf numFmtId="3" fontId="0" fillId="0" borderId="7" xfId="0" applyNumberFormat="1" applyBorder="1"/>
    <xf numFmtId="3" fontId="0" fillId="0" borderId="11" xfId="0" applyNumberFormat="1" applyBorder="1"/>
    <xf numFmtId="3" fontId="0" fillId="0" borderId="12" xfId="0" applyNumberFormat="1" applyBorder="1"/>
    <xf numFmtId="0" fontId="2" fillId="8" borderId="10" xfId="0" applyFont="1" applyFill="1" applyBorder="1" applyAlignment="1">
      <alignment horizontal="left" vertical="center"/>
    </xf>
    <xf numFmtId="3" fontId="0" fillId="0" borderId="9" xfId="0" applyNumberFormat="1" applyBorder="1"/>
    <xf numFmtId="4" fontId="0" fillId="0" borderId="0" xfId="0" applyNumberFormat="1"/>
    <xf numFmtId="3" fontId="0" fillId="0" borderId="16" xfId="0" applyNumberFormat="1" applyBorder="1"/>
    <xf numFmtId="3" fontId="0" fillId="0" borderId="10" xfId="0" applyNumberFormat="1" applyBorder="1"/>
    <xf numFmtId="3" fontId="0" fillId="0" borderId="17" xfId="0" applyNumberFormat="1" applyBorder="1"/>
    <xf numFmtId="0" fontId="18" fillId="7" borderId="0" xfId="0" applyFont="1" applyFill="1"/>
    <xf numFmtId="0" fontId="20" fillId="7" borderId="15" xfId="0" applyFont="1" applyFill="1" applyBorder="1"/>
    <xf numFmtId="0" fontId="0" fillId="0" borderId="15" xfId="0" applyBorder="1"/>
    <xf numFmtId="0" fontId="18" fillId="5" borderId="0" xfId="0" applyFont="1" applyFill="1"/>
    <xf numFmtId="0" fontId="2" fillId="7" borderId="0" xfId="0" applyFont="1" applyFill="1"/>
    <xf numFmtId="0" fontId="18" fillId="7" borderId="8" xfId="0" applyFont="1" applyFill="1" applyBorder="1"/>
    <xf numFmtId="0" fontId="18" fillId="7" borderId="8" xfId="0" applyFont="1" applyFill="1" applyBorder="1" applyAlignment="1">
      <alignment horizontal="right"/>
    </xf>
    <xf numFmtId="0" fontId="18" fillId="7" borderId="18" xfId="0" applyFont="1" applyFill="1" applyBorder="1" applyAlignment="1">
      <alignment horizontal="right"/>
    </xf>
    <xf numFmtId="0" fontId="18" fillId="7" borderId="7" xfId="0" applyFont="1" applyFill="1" applyBorder="1" applyAlignment="1">
      <alignment horizontal="right"/>
    </xf>
    <xf numFmtId="0" fontId="18" fillId="7" borderId="14" xfId="0" applyFont="1" applyFill="1" applyBorder="1" applyAlignment="1">
      <alignment horizontal="right"/>
    </xf>
    <xf numFmtId="0" fontId="18" fillId="7" borderId="13" xfId="0" applyFont="1" applyFill="1" applyBorder="1" applyAlignment="1">
      <alignment horizontal="right"/>
    </xf>
    <xf numFmtId="2" fontId="0" fillId="0" borderId="0" xfId="0" applyNumberFormat="1"/>
    <xf numFmtId="167" fontId="0" fillId="0" borderId="0" xfId="0" applyNumberFormat="1"/>
    <xf numFmtId="2" fontId="0" fillId="0" borderId="0" xfId="1" applyNumberFormat="1" applyFont="1"/>
    <xf numFmtId="0" fontId="18" fillId="7" borderId="19" xfId="0" applyFont="1" applyFill="1" applyBorder="1"/>
    <xf numFmtId="0" fontId="18" fillId="7" borderId="16" xfId="0" applyFont="1" applyFill="1" applyBorder="1"/>
    <xf numFmtId="0" fontId="18" fillId="7" borderId="18" xfId="0" applyFont="1" applyFill="1" applyBorder="1"/>
    <xf numFmtId="0" fontId="18" fillId="7" borderId="11" xfId="0" applyFont="1" applyFill="1" applyBorder="1"/>
    <xf numFmtId="0" fontId="18" fillId="7" borderId="12" xfId="0" applyFont="1" applyFill="1" applyBorder="1"/>
    <xf numFmtId="9" fontId="18" fillId="7" borderId="11" xfId="0" applyNumberFormat="1" applyFont="1" applyFill="1" applyBorder="1"/>
    <xf numFmtId="9" fontId="18" fillId="7" borderId="16" xfId="0" applyNumberFormat="1" applyFont="1" applyFill="1" applyBorder="1"/>
    <xf numFmtId="2" fontId="18" fillId="7" borderId="11" xfId="0" applyNumberFormat="1" applyFont="1" applyFill="1" applyBorder="1"/>
    <xf numFmtId="2" fontId="18" fillId="7" borderId="12" xfId="0" applyNumberFormat="1" applyFont="1" applyFill="1" applyBorder="1"/>
    <xf numFmtId="2" fontId="18" fillId="7" borderId="16" xfId="0" applyNumberFormat="1" applyFont="1" applyFill="1" applyBorder="1"/>
    <xf numFmtId="2" fontId="18" fillId="7" borderId="17" xfId="0" applyNumberFormat="1" applyFont="1" applyFill="1" applyBorder="1"/>
    <xf numFmtId="10" fontId="0" fillId="0" borderId="0" xfId="1" applyNumberFormat="1" applyFont="1"/>
    <xf numFmtId="10" fontId="3" fillId="7" borderId="0" xfId="1" applyNumberFormat="1" applyFont="1" applyFill="1"/>
    <xf numFmtId="0" fontId="0" fillId="0" borderId="9" xfId="0" applyBorder="1"/>
    <xf numFmtId="0" fontId="0" fillId="9" borderId="7" xfId="0" applyFill="1" applyBorder="1"/>
    <xf numFmtId="2" fontId="0" fillId="9" borderId="7" xfId="0" applyNumberFormat="1" applyFill="1" applyBorder="1"/>
    <xf numFmtId="43" fontId="0" fillId="9" borderId="7" xfId="2" applyFont="1" applyFill="1" applyBorder="1"/>
    <xf numFmtId="0" fontId="18" fillId="7" borderId="7" xfId="0" applyFont="1" applyFill="1" applyBorder="1"/>
    <xf numFmtId="43" fontId="0" fillId="0" borderId="0" xfId="0" applyNumberFormat="1"/>
    <xf numFmtId="43" fontId="0" fillId="0" borderId="0" xfId="2" applyFont="1"/>
    <xf numFmtId="168" fontId="0" fillId="0" borderId="0" xfId="2" applyNumberFormat="1" applyFont="1"/>
    <xf numFmtId="0" fontId="22" fillId="0" borderId="0" xfId="0" applyFont="1" applyAlignment="1">
      <alignment horizontal="center" vertical="center"/>
    </xf>
    <xf numFmtId="0" fontId="19" fillId="10" borderId="0" xfId="0" applyFont="1" applyFill="1" applyAlignment="1">
      <alignment horizontal="center" vertical="center"/>
    </xf>
    <xf numFmtId="3" fontId="23" fillId="0" borderId="0" xfId="0" applyNumberFormat="1" applyFont="1" applyAlignment="1">
      <alignment horizontal="center" vertical="center"/>
    </xf>
    <xf numFmtId="0" fontId="24" fillId="11" borderId="0" xfId="0" applyFont="1" applyFill="1" applyAlignment="1">
      <alignment horizontal="center" vertical="center"/>
    </xf>
    <xf numFmtId="0" fontId="19" fillId="0" borderId="0" xfId="0" applyFont="1" applyAlignment="1">
      <alignment horizontal="center" vertical="center"/>
    </xf>
    <xf numFmtId="3" fontId="25" fillId="0" borderId="0" xfId="0" applyNumberFormat="1" applyFont="1" applyAlignment="1">
      <alignment horizontal="center" vertical="center"/>
    </xf>
    <xf numFmtId="0" fontId="19" fillId="11" borderId="0" xfId="0" applyFont="1" applyFill="1" applyAlignment="1">
      <alignment horizontal="center" vertical="center"/>
    </xf>
    <xf numFmtId="0" fontId="19" fillId="5" borderId="0" xfId="0" applyFont="1" applyFill="1" applyAlignment="1">
      <alignment horizontal="left" vertical="center"/>
    </xf>
    <xf numFmtId="9" fontId="27" fillId="0" borderId="0" xfId="1" applyFont="1"/>
    <xf numFmtId="10" fontId="0" fillId="0" borderId="9" xfId="0" applyNumberFormat="1" applyBorder="1" applyAlignment="1">
      <alignment horizontal="center"/>
    </xf>
    <xf numFmtId="10" fontId="0" fillId="0" borderId="7" xfId="0" applyNumberFormat="1" applyBorder="1" applyAlignment="1">
      <alignment horizontal="center"/>
    </xf>
    <xf numFmtId="10" fontId="0" fillId="0" borderId="8" xfId="0" applyNumberFormat="1" applyBorder="1" applyAlignment="1">
      <alignment horizontal="center"/>
    </xf>
    <xf numFmtId="10" fontId="0" fillId="9" borderId="7" xfId="0" applyNumberFormat="1" applyFill="1" applyBorder="1" applyAlignment="1">
      <alignment horizontal="center"/>
    </xf>
    <xf numFmtId="10" fontId="18" fillId="7" borderId="7" xfId="0" applyNumberFormat="1" applyFont="1" applyFill="1" applyBorder="1"/>
    <xf numFmtId="10" fontId="18" fillId="7" borderId="11" xfId="0" applyNumberFormat="1" applyFont="1" applyFill="1" applyBorder="1"/>
    <xf numFmtId="10" fontId="18" fillId="7" borderId="11" xfId="1" applyNumberFormat="1" applyFont="1" applyFill="1" applyBorder="1"/>
    <xf numFmtId="10" fontId="18" fillId="7" borderId="7" xfId="1" applyNumberFormat="1" applyFont="1" applyFill="1" applyBorder="1"/>
    <xf numFmtId="166" fontId="0" fillId="0" borderId="8" xfId="0" applyNumberFormat="1" applyBorder="1"/>
    <xf numFmtId="0" fontId="26" fillId="12" borderId="0" xfId="0" applyFont="1" applyFill="1" applyAlignment="1">
      <alignment horizontal="left" vertical="center"/>
    </xf>
    <xf numFmtId="2" fontId="28" fillId="9" borderId="0" xfId="0" applyNumberFormat="1" applyFont="1" applyFill="1"/>
    <xf numFmtId="0" fontId="21" fillId="12" borderId="0" xfId="0" applyFont="1" applyFill="1" applyAlignment="1">
      <alignment horizontal="left" vertical="center"/>
    </xf>
    <xf numFmtId="3" fontId="2" fillId="12" borderId="0" xfId="0" applyNumberFormat="1" applyFont="1" applyFill="1"/>
    <xf numFmtId="2" fontId="0" fillId="0" borderId="7" xfId="0" applyNumberFormat="1" applyBorder="1"/>
    <xf numFmtId="2" fontId="0" fillId="0" borderId="11" xfId="0" applyNumberFormat="1" applyBorder="1"/>
    <xf numFmtId="2" fontId="0" fillId="0" borderId="9" xfId="0" applyNumberFormat="1" applyBorder="1"/>
    <xf numFmtId="0" fontId="16" fillId="0" borderId="0" xfId="0" applyFont="1"/>
    <xf numFmtId="0" fontId="0" fillId="0" borderId="0" xfId="0" applyAlignment="1">
      <alignment horizontal="left" vertical="top" wrapText="1"/>
    </xf>
    <xf numFmtId="0" fontId="0" fillId="0" borderId="0" xfId="0" applyAlignment="1">
      <alignment horizontal="left" vertical="top" wrapText="1"/>
    </xf>
    <xf numFmtId="0" fontId="16" fillId="0" borderId="0" xfId="0" applyFont="1" applyAlignment="1">
      <alignment horizontal="left" vertical="top" wrapText="1"/>
    </xf>
    <xf numFmtId="0" fontId="0" fillId="0" borderId="0" xfId="0" applyFont="1" applyAlignment="1">
      <alignment horizontal="left" vertical="top"/>
    </xf>
    <xf numFmtId="0" fontId="0" fillId="0" borderId="0" xfId="0" applyAlignment="1">
      <alignment horizontal="left" vertical="top"/>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86A3-4EF5-4DB7-B099-1D2764243762}">
  <dimension ref="A1:F142"/>
  <sheetViews>
    <sheetView showGridLines="0" topLeftCell="A73" workbookViewId="0">
      <selection activeCell="B4" sqref="B4"/>
    </sheetView>
  </sheetViews>
  <sheetFormatPr defaultRowHeight="14.4" outlineLevelRow="2" x14ac:dyDescent="0.3"/>
  <cols>
    <col min="1" max="1" width="31" bestFit="1" customWidth="1"/>
  </cols>
  <sheetData>
    <row r="1" spans="1:6" ht="25.8" x14ac:dyDescent="0.5">
      <c r="A1" s="11" t="s">
        <v>114</v>
      </c>
      <c r="B1" s="12"/>
      <c r="C1" s="12"/>
      <c r="D1" s="12"/>
      <c r="E1" s="12"/>
    </row>
    <row r="2" spans="1:6" x14ac:dyDescent="0.3">
      <c r="A2" s="3"/>
      <c r="B2" s="4">
        <v>2025</v>
      </c>
      <c r="C2" s="4">
        <v>2024</v>
      </c>
      <c r="D2" s="4">
        <v>2023</v>
      </c>
      <c r="E2" s="4">
        <v>2022</v>
      </c>
      <c r="F2" s="4">
        <v>2021</v>
      </c>
    </row>
    <row r="3" spans="1:6" ht="21.6" thickBot="1" x14ac:dyDescent="0.45">
      <c r="A3" s="9" t="s">
        <v>108</v>
      </c>
      <c r="B3" s="10"/>
      <c r="C3" s="10"/>
      <c r="D3" s="10"/>
      <c r="E3" s="10" t="s">
        <v>113</v>
      </c>
      <c r="F3" s="10"/>
    </row>
    <row r="4" spans="1:6" x14ac:dyDescent="0.3">
      <c r="A4" t="s">
        <v>1</v>
      </c>
      <c r="B4" s="1">
        <v>11433</v>
      </c>
      <c r="C4" s="1">
        <v>9982</v>
      </c>
      <c r="D4" s="1">
        <v>9214</v>
      </c>
      <c r="E4" s="1">
        <v>8075</v>
      </c>
      <c r="F4" s="1">
        <v>7837</v>
      </c>
    </row>
    <row r="5" spans="1:6" x14ac:dyDescent="0.3">
      <c r="A5" t="s">
        <v>4</v>
      </c>
      <c r="B5" s="1">
        <v>10412</v>
      </c>
      <c r="C5" s="1">
        <v>9124</v>
      </c>
      <c r="D5" s="1">
        <v>8407</v>
      </c>
      <c r="E5" s="1">
        <v>7543</v>
      </c>
      <c r="F5" s="1">
        <v>7270</v>
      </c>
    </row>
    <row r="6" spans="1:6" x14ac:dyDescent="0.3">
      <c r="A6" s="5" t="s">
        <v>10</v>
      </c>
      <c r="B6" s="6">
        <v>1022</v>
      </c>
      <c r="C6" s="5">
        <v>858</v>
      </c>
      <c r="D6" s="5">
        <v>807</v>
      </c>
      <c r="E6" s="5">
        <v>532</v>
      </c>
      <c r="F6" s="5">
        <v>566</v>
      </c>
    </row>
    <row r="7" spans="1:6" x14ac:dyDescent="0.3">
      <c r="A7" t="s">
        <v>155</v>
      </c>
      <c r="B7" s="1">
        <v>1154</v>
      </c>
      <c r="C7">
        <v>999</v>
      </c>
      <c r="D7">
        <v>912</v>
      </c>
      <c r="E7">
        <v>762</v>
      </c>
      <c r="F7">
        <v>658</v>
      </c>
    </row>
    <row r="8" spans="1:6" x14ac:dyDescent="0.3">
      <c r="A8" s="5" t="s">
        <v>16</v>
      </c>
      <c r="B8" s="5">
        <v>-132</v>
      </c>
      <c r="C8" s="5">
        <v>-142</v>
      </c>
      <c r="D8" s="5">
        <v>-105</v>
      </c>
      <c r="E8" s="5">
        <v>-230</v>
      </c>
      <c r="F8" s="5">
        <v>-92</v>
      </c>
    </row>
    <row r="9" spans="1:6" x14ac:dyDescent="0.3">
      <c r="A9" t="s">
        <v>18</v>
      </c>
      <c r="B9">
        <v>993</v>
      </c>
      <c r="C9">
        <v>844</v>
      </c>
      <c r="D9">
        <v>687</v>
      </c>
      <c r="E9">
        <v>762</v>
      </c>
      <c r="F9">
        <v>703</v>
      </c>
    </row>
    <row r="10" spans="1:6" x14ac:dyDescent="0.3">
      <c r="A10" t="s">
        <v>20</v>
      </c>
      <c r="B10">
        <v>48</v>
      </c>
      <c r="C10">
        <v>45</v>
      </c>
      <c r="D10">
        <v>44</v>
      </c>
      <c r="E10">
        <v>52</v>
      </c>
      <c r="F10">
        <v>53</v>
      </c>
    </row>
    <row r="11" spans="1:6" x14ac:dyDescent="0.3">
      <c r="A11" s="5" t="s">
        <v>23</v>
      </c>
      <c r="B11" s="5">
        <v>814</v>
      </c>
      <c r="C11" s="5">
        <v>659</v>
      </c>
      <c r="D11" s="5">
        <v>538</v>
      </c>
      <c r="E11" s="5">
        <v>484</v>
      </c>
      <c r="F11" s="5">
        <v>562</v>
      </c>
    </row>
    <row r="12" spans="1:6" x14ac:dyDescent="0.3">
      <c r="A12" t="s">
        <v>26</v>
      </c>
      <c r="B12">
        <v>199</v>
      </c>
      <c r="C12">
        <v>168</v>
      </c>
      <c r="D12">
        <v>138</v>
      </c>
      <c r="E12">
        <v>157</v>
      </c>
      <c r="F12">
        <v>143</v>
      </c>
    </row>
    <row r="13" spans="1:6" x14ac:dyDescent="0.3">
      <c r="A13" s="5" t="s">
        <v>30</v>
      </c>
      <c r="B13" s="5">
        <v>614</v>
      </c>
      <c r="C13" s="5">
        <v>490</v>
      </c>
      <c r="D13" s="5">
        <v>400</v>
      </c>
      <c r="E13" s="5">
        <v>327</v>
      </c>
      <c r="F13" s="5">
        <v>419</v>
      </c>
    </row>
    <row r="15" spans="1:6" ht="21.6" thickBot="1" x14ac:dyDescent="0.45">
      <c r="A15" s="9" t="s">
        <v>109</v>
      </c>
      <c r="B15" s="10"/>
      <c r="C15" s="10"/>
      <c r="D15" s="10"/>
      <c r="E15" s="10"/>
      <c r="F15" s="10"/>
    </row>
    <row r="16" spans="1:6" x14ac:dyDescent="0.3">
      <c r="A16" s="7" t="s">
        <v>44</v>
      </c>
    </row>
    <row r="17" spans="1:6" x14ac:dyDescent="0.3">
      <c r="A17" t="s">
        <v>45</v>
      </c>
      <c r="B17">
        <v>898</v>
      </c>
      <c r="C17">
        <v>698</v>
      </c>
      <c r="D17">
        <v>138</v>
      </c>
      <c r="E17">
        <v>85</v>
      </c>
      <c r="F17">
        <v>350</v>
      </c>
    </row>
    <row r="18" spans="1:6" x14ac:dyDescent="0.3">
      <c r="A18" t="s">
        <v>49</v>
      </c>
      <c r="B18">
        <v>45</v>
      </c>
      <c r="C18">
        <v>20</v>
      </c>
      <c r="D18">
        <v>44</v>
      </c>
      <c r="E18">
        <v>29</v>
      </c>
      <c r="F18">
        <v>18</v>
      </c>
    </row>
    <row r="19" spans="1:6" x14ac:dyDescent="0.3">
      <c r="A19" t="s">
        <v>55</v>
      </c>
      <c r="B19" s="1">
        <v>1450</v>
      </c>
      <c r="C19" s="1">
        <v>1339</v>
      </c>
      <c r="D19" s="1">
        <v>1174</v>
      </c>
      <c r="E19" s="1">
        <v>1093</v>
      </c>
      <c r="F19">
        <v>803</v>
      </c>
    </row>
    <row r="20" spans="1:6" x14ac:dyDescent="0.3">
      <c r="A20" t="s">
        <v>58</v>
      </c>
      <c r="B20">
        <v>60</v>
      </c>
      <c r="C20">
        <v>49</v>
      </c>
      <c r="D20">
        <v>40</v>
      </c>
      <c r="E20">
        <v>36</v>
      </c>
      <c r="F20">
        <v>43</v>
      </c>
    </row>
    <row r="21" spans="1:6" x14ac:dyDescent="0.3">
      <c r="A21" s="5" t="s">
        <v>61</v>
      </c>
      <c r="B21" s="6">
        <v>2452</v>
      </c>
      <c r="C21" s="6">
        <v>2106</v>
      </c>
      <c r="D21" s="6">
        <v>1396</v>
      </c>
      <c r="E21" s="6">
        <v>1243</v>
      </c>
      <c r="F21" s="6">
        <v>1215</v>
      </c>
    </row>
    <row r="22" spans="1:6" x14ac:dyDescent="0.3">
      <c r="A22" t="s">
        <v>62</v>
      </c>
      <c r="B22" s="1">
        <v>1615</v>
      </c>
      <c r="C22" s="1">
        <v>1442</v>
      </c>
      <c r="D22" s="1">
        <v>1254</v>
      </c>
      <c r="E22" s="1">
        <v>1122</v>
      </c>
      <c r="F22" s="1">
        <v>1131</v>
      </c>
    </row>
    <row r="23" spans="1:6" x14ac:dyDescent="0.3">
      <c r="A23" t="s">
        <v>70</v>
      </c>
      <c r="B23">
        <v>0</v>
      </c>
      <c r="C23">
        <v>0</v>
      </c>
      <c r="D23">
        <v>0</v>
      </c>
      <c r="E23">
        <v>0</v>
      </c>
      <c r="F23">
        <v>0</v>
      </c>
    </row>
    <row r="24" spans="1:6" x14ac:dyDescent="0.3">
      <c r="A24" s="5" t="s">
        <v>72</v>
      </c>
      <c r="B24" s="6">
        <v>4076</v>
      </c>
      <c r="C24" s="6">
        <v>3761</v>
      </c>
      <c r="D24" s="6">
        <v>2839</v>
      </c>
      <c r="E24" s="6">
        <v>2380</v>
      </c>
      <c r="F24" s="6">
        <v>2358</v>
      </c>
    </row>
    <row r="26" spans="1:6" x14ac:dyDescent="0.3">
      <c r="A26" s="7" t="s">
        <v>111</v>
      </c>
    </row>
    <row r="27" spans="1:6" x14ac:dyDescent="0.3">
      <c r="A27" t="s">
        <v>78</v>
      </c>
      <c r="B27">
        <v>196</v>
      </c>
      <c r="C27">
        <v>176</v>
      </c>
      <c r="D27">
        <v>160</v>
      </c>
      <c r="E27">
        <v>141</v>
      </c>
      <c r="F27">
        <v>126</v>
      </c>
    </row>
    <row r="28" spans="1:6" x14ac:dyDescent="0.3">
      <c r="A28" t="s">
        <v>81</v>
      </c>
      <c r="B28" s="1">
        <v>1120</v>
      </c>
      <c r="C28">
        <v>936</v>
      </c>
      <c r="D28">
        <v>982</v>
      </c>
      <c r="E28">
        <v>805</v>
      </c>
      <c r="F28">
        <v>640</v>
      </c>
    </row>
    <row r="29" spans="1:6" x14ac:dyDescent="0.3">
      <c r="A29" t="s">
        <v>83</v>
      </c>
      <c r="B29">
        <v>21</v>
      </c>
      <c r="C29">
        <v>25</v>
      </c>
      <c r="D29">
        <v>28</v>
      </c>
      <c r="E29">
        <v>29</v>
      </c>
      <c r="F29">
        <v>30</v>
      </c>
    </row>
    <row r="30" spans="1:6" x14ac:dyDescent="0.3">
      <c r="A30" t="s">
        <v>84</v>
      </c>
      <c r="B30">
        <v>81</v>
      </c>
      <c r="C30">
        <v>74</v>
      </c>
      <c r="D30">
        <v>222</v>
      </c>
      <c r="E30">
        <v>70</v>
      </c>
      <c r="F30">
        <v>66</v>
      </c>
    </row>
    <row r="31" spans="1:6" x14ac:dyDescent="0.3">
      <c r="A31" s="5" t="s">
        <v>87</v>
      </c>
      <c r="B31" s="6">
        <v>1419</v>
      </c>
      <c r="C31" s="6">
        <v>1212</v>
      </c>
      <c r="D31" s="6">
        <v>1391</v>
      </c>
      <c r="E31" s="6">
        <v>1045</v>
      </c>
      <c r="F31" s="5">
        <v>862</v>
      </c>
    </row>
    <row r="32" spans="1:6" x14ac:dyDescent="0.3">
      <c r="A32" t="s">
        <v>91</v>
      </c>
      <c r="B32">
        <v>778</v>
      </c>
      <c r="C32">
        <v>712</v>
      </c>
      <c r="D32">
        <v>680</v>
      </c>
      <c r="E32">
        <v>656</v>
      </c>
      <c r="F32">
        <v>716</v>
      </c>
    </row>
    <row r="33" spans="1:6" x14ac:dyDescent="0.3">
      <c r="A33" s="8" t="s">
        <v>110</v>
      </c>
      <c r="B33">
        <v>56</v>
      </c>
      <c r="C33">
        <v>46</v>
      </c>
      <c r="D33">
        <v>37</v>
      </c>
      <c r="E33">
        <v>32</v>
      </c>
      <c r="F33">
        <v>31</v>
      </c>
    </row>
    <row r="34" spans="1:6" x14ac:dyDescent="0.3">
      <c r="A34" s="5" t="s">
        <v>98</v>
      </c>
      <c r="B34" s="6">
        <v>2261</v>
      </c>
      <c r="C34" s="6">
        <v>2182</v>
      </c>
      <c r="D34" s="6">
        <v>2298</v>
      </c>
      <c r="E34" s="6">
        <v>1749</v>
      </c>
      <c r="F34" s="6">
        <v>1621</v>
      </c>
    </row>
    <row r="36" spans="1:6" x14ac:dyDescent="0.3">
      <c r="A36" s="7" t="s">
        <v>112</v>
      </c>
    </row>
    <row r="37" spans="1:6" x14ac:dyDescent="0.3">
      <c r="A37" t="s">
        <v>100</v>
      </c>
      <c r="B37" s="1">
        <v>1815</v>
      </c>
      <c r="C37" s="1">
        <v>1579</v>
      </c>
      <c r="D37">
        <v>542</v>
      </c>
      <c r="E37">
        <v>632</v>
      </c>
      <c r="F37">
        <v>737</v>
      </c>
    </row>
    <row r="38" spans="1:6" x14ac:dyDescent="0.3">
      <c r="A38" s="5" t="s">
        <v>76</v>
      </c>
      <c r="B38" s="6">
        <v>4076</v>
      </c>
      <c r="C38" s="6">
        <v>3761</v>
      </c>
      <c r="D38" s="6">
        <v>2839</v>
      </c>
      <c r="E38" s="6">
        <v>2380</v>
      </c>
      <c r="F38" s="6">
        <v>2358</v>
      </c>
    </row>
    <row r="41" spans="1:6" ht="23.4" x14ac:dyDescent="0.45">
      <c r="A41" s="13" t="s">
        <v>115</v>
      </c>
    </row>
    <row r="42" spans="1:6" ht="21.6" outlineLevel="2" thickBot="1" x14ac:dyDescent="0.45">
      <c r="A42" s="9" t="s">
        <v>108</v>
      </c>
      <c r="B42" s="10"/>
      <c r="C42" s="10"/>
      <c r="D42" s="10"/>
      <c r="E42" s="10" t="s">
        <v>113</v>
      </c>
      <c r="F42" s="10"/>
    </row>
    <row r="43" spans="1:6" outlineLevel="2" x14ac:dyDescent="0.3">
      <c r="A43" t="s">
        <v>1</v>
      </c>
      <c r="B43" s="14">
        <f t="shared" ref="B43:F52" si="0">B4/B$4</f>
        <v>1</v>
      </c>
      <c r="C43" s="14">
        <f t="shared" si="0"/>
        <v>1</v>
      </c>
      <c r="D43" s="14">
        <f t="shared" si="0"/>
        <v>1</v>
      </c>
      <c r="E43" s="14">
        <f t="shared" si="0"/>
        <v>1</v>
      </c>
      <c r="F43" s="14">
        <f t="shared" si="0"/>
        <v>1</v>
      </c>
    </row>
    <row r="44" spans="1:6" outlineLevel="2" x14ac:dyDescent="0.3">
      <c r="A44" t="s">
        <v>4</v>
      </c>
      <c r="B44" s="14">
        <f t="shared" si="0"/>
        <v>0.91069710487186217</v>
      </c>
      <c r="C44" s="14">
        <f t="shared" si="0"/>
        <v>0.91404528150671205</v>
      </c>
      <c r="D44" s="14">
        <f t="shared" si="0"/>
        <v>0.91241588886477099</v>
      </c>
      <c r="E44" s="14">
        <f t="shared" si="0"/>
        <v>0.9341176470588235</v>
      </c>
      <c r="F44" s="14">
        <f t="shared" si="0"/>
        <v>0.92765088681893582</v>
      </c>
    </row>
    <row r="45" spans="1:6" outlineLevel="2" x14ac:dyDescent="0.3">
      <c r="A45" s="5" t="s">
        <v>10</v>
      </c>
      <c r="B45" s="15">
        <f t="shared" si="0"/>
        <v>8.9390361235021434E-2</v>
      </c>
      <c r="C45" s="15">
        <f t="shared" si="0"/>
        <v>8.5954718493287924E-2</v>
      </c>
      <c r="D45" s="15">
        <f t="shared" si="0"/>
        <v>8.7584111135229001E-2</v>
      </c>
      <c r="E45" s="15">
        <f t="shared" si="0"/>
        <v>6.5882352941176475E-2</v>
      </c>
      <c r="F45" s="15">
        <f t="shared" si="0"/>
        <v>7.2221513334184001E-2</v>
      </c>
    </row>
    <row r="46" spans="1:6" outlineLevel="2" x14ac:dyDescent="0.3">
      <c r="A46" t="s">
        <v>155</v>
      </c>
      <c r="B46" s="14">
        <f t="shared" si="0"/>
        <v>0.10093588734365433</v>
      </c>
      <c r="C46" s="14">
        <f t="shared" si="0"/>
        <v>0.10008014425966739</v>
      </c>
      <c r="D46" s="14">
        <f t="shared" si="0"/>
        <v>9.8979813327545046E-2</v>
      </c>
      <c r="E46" s="14">
        <f t="shared" si="0"/>
        <v>9.4365325077399378E-2</v>
      </c>
      <c r="F46" s="14">
        <f t="shared" si="0"/>
        <v>8.3960699247160903E-2</v>
      </c>
    </row>
    <row r="47" spans="1:6" outlineLevel="2" x14ac:dyDescent="0.3">
      <c r="A47" s="5" t="s">
        <v>16</v>
      </c>
      <c r="B47" s="15">
        <f t="shared" si="0"/>
        <v>-1.1545526108632905E-2</v>
      </c>
      <c r="C47" s="15">
        <f t="shared" si="0"/>
        <v>-1.4225606090963735E-2</v>
      </c>
      <c r="D47" s="15">
        <f t="shared" si="0"/>
        <v>-1.139570219231604E-2</v>
      </c>
      <c r="E47" s="15">
        <f t="shared" si="0"/>
        <v>-2.848297213622291E-2</v>
      </c>
      <c r="F47" s="15">
        <f t="shared" si="0"/>
        <v>-1.1739185912976905E-2</v>
      </c>
    </row>
    <row r="48" spans="1:6" outlineLevel="2" x14ac:dyDescent="0.3">
      <c r="A48" t="s">
        <v>18</v>
      </c>
      <c r="B48" s="14">
        <f t="shared" si="0"/>
        <v>8.685384413539754E-2</v>
      </c>
      <c r="C48" s="14">
        <f t="shared" si="0"/>
        <v>8.4552193949108401E-2</v>
      </c>
      <c r="D48" s="14">
        <f t="shared" si="0"/>
        <v>7.456045148686781E-2</v>
      </c>
      <c r="E48" s="14">
        <f t="shared" si="0"/>
        <v>9.4365325077399378E-2</v>
      </c>
      <c r="F48" s="14">
        <f t="shared" si="0"/>
        <v>8.970269235676917E-2</v>
      </c>
    </row>
    <row r="49" spans="1:6" outlineLevel="2" x14ac:dyDescent="0.3">
      <c r="A49" t="s">
        <v>20</v>
      </c>
      <c r="B49" s="14">
        <f t="shared" si="0"/>
        <v>4.1983731304119651E-3</v>
      </c>
      <c r="C49" s="14">
        <f t="shared" si="0"/>
        <v>4.5081146062913241E-3</v>
      </c>
      <c r="D49" s="14">
        <f t="shared" si="0"/>
        <v>4.7753418710657696E-3</v>
      </c>
      <c r="E49" s="14">
        <f t="shared" si="0"/>
        <v>6.4396284829721364E-3</v>
      </c>
      <c r="F49" s="14">
        <f t="shared" si="0"/>
        <v>6.7627918846497386E-3</v>
      </c>
    </row>
    <row r="50" spans="1:6" outlineLevel="2" x14ac:dyDescent="0.3">
      <c r="A50" s="5" t="s">
        <v>23</v>
      </c>
      <c r="B50" s="15">
        <f t="shared" si="0"/>
        <v>7.1197411003236247E-2</v>
      </c>
      <c r="C50" s="15">
        <f t="shared" si="0"/>
        <v>6.6018833901021839E-2</v>
      </c>
      <c r="D50" s="15">
        <f t="shared" si="0"/>
        <v>5.8389407423486001E-2</v>
      </c>
      <c r="E50" s="15">
        <f t="shared" si="0"/>
        <v>5.9938080495356039E-2</v>
      </c>
      <c r="F50" s="15">
        <f t="shared" si="0"/>
        <v>7.1711113946663269E-2</v>
      </c>
    </row>
    <row r="51" spans="1:6" outlineLevel="2" x14ac:dyDescent="0.3">
      <c r="A51" t="s">
        <v>26</v>
      </c>
      <c r="B51" s="14">
        <f t="shared" si="0"/>
        <v>1.7405755269832939E-2</v>
      </c>
      <c r="C51" s="14">
        <f t="shared" si="0"/>
        <v>1.6830294530154277E-2</v>
      </c>
      <c r="D51" s="14">
        <f t="shared" si="0"/>
        <v>1.4977208595615368E-2</v>
      </c>
      <c r="E51" s="14">
        <f t="shared" si="0"/>
        <v>1.9442724458204334E-2</v>
      </c>
      <c r="F51" s="14">
        <f t="shared" si="0"/>
        <v>1.8246778103866275E-2</v>
      </c>
    </row>
    <row r="52" spans="1:6" outlineLevel="2" x14ac:dyDescent="0.3">
      <c r="A52" s="5" t="s">
        <v>30</v>
      </c>
      <c r="B52" s="15">
        <f t="shared" si="0"/>
        <v>5.3704189626519724E-2</v>
      </c>
      <c r="C52" s="15">
        <f t="shared" si="0"/>
        <v>4.9088359046283309E-2</v>
      </c>
      <c r="D52" s="15">
        <f t="shared" si="0"/>
        <v>4.3412198827870632E-2</v>
      </c>
      <c r="E52" s="15">
        <f t="shared" si="0"/>
        <v>4.0495356037151702E-2</v>
      </c>
      <c r="F52" s="15">
        <f t="shared" si="0"/>
        <v>5.3464335842796987E-2</v>
      </c>
    </row>
    <row r="53" spans="1:6" outlineLevel="2" x14ac:dyDescent="0.3"/>
    <row r="54" spans="1:6" ht="21.6" outlineLevel="2" thickBot="1" x14ac:dyDescent="0.45">
      <c r="A54" s="9" t="s">
        <v>109</v>
      </c>
      <c r="B54" s="10"/>
      <c r="C54" s="10"/>
      <c r="D54" s="10"/>
      <c r="E54" s="10"/>
      <c r="F54" s="10"/>
    </row>
    <row r="55" spans="1:6" outlineLevel="2" x14ac:dyDescent="0.3">
      <c r="A55" s="7" t="s">
        <v>44</v>
      </c>
    </row>
    <row r="56" spans="1:6" outlineLevel="2" x14ac:dyDescent="0.3">
      <c r="A56" t="s">
        <v>45</v>
      </c>
      <c r="B56" s="14">
        <f t="shared" ref="B56:F62" si="1">IF(B17/B$24=0,"",B17/B$24)</f>
        <v>0.22031403336604513</v>
      </c>
      <c r="C56" s="14">
        <f t="shared" si="1"/>
        <v>0.18558893911193833</v>
      </c>
      <c r="D56" s="14">
        <f t="shared" si="1"/>
        <v>4.8608665022895382E-2</v>
      </c>
      <c r="E56" s="14">
        <f t="shared" si="1"/>
        <v>3.5714285714285712E-2</v>
      </c>
      <c r="F56" s="14">
        <f t="shared" si="1"/>
        <v>0.14843087362171331</v>
      </c>
    </row>
    <row r="57" spans="1:6" outlineLevel="2" x14ac:dyDescent="0.3">
      <c r="A57" t="s">
        <v>49</v>
      </c>
      <c r="B57" s="14">
        <f t="shared" si="1"/>
        <v>1.1040235525024533E-2</v>
      </c>
      <c r="C57" s="14">
        <f t="shared" si="1"/>
        <v>5.3177346450412125E-3</v>
      </c>
      <c r="D57" s="14">
        <f t="shared" si="1"/>
        <v>1.549841493483621E-2</v>
      </c>
      <c r="E57" s="14">
        <f t="shared" si="1"/>
        <v>1.2184873949579832E-2</v>
      </c>
      <c r="F57" s="14">
        <f t="shared" si="1"/>
        <v>7.6335877862595417E-3</v>
      </c>
    </row>
    <row r="58" spans="1:6" outlineLevel="2" x14ac:dyDescent="0.3">
      <c r="A58" t="s">
        <v>55</v>
      </c>
      <c r="B58" s="14">
        <f t="shared" si="1"/>
        <v>0.35574092247301276</v>
      </c>
      <c r="C58" s="14">
        <f t="shared" si="1"/>
        <v>0.35602233448550918</v>
      </c>
      <c r="D58" s="14">
        <f t="shared" si="1"/>
        <v>0.41352588939767526</v>
      </c>
      <c r="E58" s="14">
        <f t="shared" si="1"/>
        <v>0.45924369747899157</v>
      </c>
      <c r="F58" s="14">
        <f t="shared" si="1"/>
        <v>0.34054283290924514</v>
      </c>
    </row>
    <row r="59" spans="1:6" outlineLevel="2" x14ac:dyDescent="0.3">
      <c r="A59" t="s">
        <v>58</v>
      </c>
      <c r="B59" s="14">
        <f t="shared" si="1"/>
        <v>1.4720314033366046E-2</v>
      </c>
      <c r="C59" s="14">
        <f t="shared" si="1"/>
        <v>1.302844988035097E-2</v>
      </c>
      <c r="D59" s="14">
        <f t="shared" si="1"/>
        <v>1.4089468122578372E-2</v>
      </c>
      <c r="E59" s="14">
        <f t="shared" si="1"/>
        <v>1.5126050420168067E-2</v>
      </c>
      <c r="F59" s="14">
        <f t="shared" si="1"/>
        <v>1.823579304495335E-2</v>
      </c>
    </row>
    <row r="60" spans="1:6" outlineLevel="2" x14ac:dyDescent="0.3">
      <c r="A60" s="5" t="s">
        <v>61</v>
      </c>
      <c r="B60" s="15">
        <f t="shared" si="1"/>
        <v>0.60157016683022568</v>
      </c>
      <c r="C60" s="15">
        <f t="shared" si="1"/>
        <v>0.5599574581228397</v>
      </c>
      <c r="D60" s="15">
        <f t="shared" si="1"/>
        <v>0.49172243747798522</v>
      </c>
      <c r="E60" s="15">
        <f t="shared" si="1"/>
        <v>0.52226890756302524</v>
      </c>
      <c r="F60" s="15">
        <f t="shared" si="1"/>
        <v>0.51526717557251911</v>
      </c>
    </row>
    <row r="61" spans="1:6" outlineLevel="2" x14ac:dyDescent="0.3">
      <c r="A61" t="s">
        <v>62</v>
      </c>
      <c r="B61" s="14">
        <f t="shared" si="1"/>
        <v>0.39622178606476938</v>
      </c>
      <c r="C61" s="14">
        <f t="shared" si="1"/>
        <v>0.38340866790747141</v>
      </c>
      <c r="D61" s="14">
        <f t="shared" si="1"/>
        <v>0.44170482564283198</v>
      </c>
      <c r="E61" s="14">
        <f t="shared" si="1"/>
        <v>0.47142857142857142</v>
      </c>
      <c r="F61" s="14">
        <f t="shared" si="1"/>
        <v>0.47964376590330787</v>
      </c>
    </row>
    <row r="62" spans="1:6" outlineLevel="2" x14ac:dyDescent="0.3">
      <c r="A62" t="s">
        <v>70</v>
      </c>
      <c r="B62" s="14" t="str">
        <f t="shared" si="1"/>
        <v/>
      </c>
      <c r="C62" s="14" t="str">
        <f t="shared" si="1"/>
        <v/>
      </c>
      <c r="D62" s="14" t="str">
        <f t="shared" si="1"/>
        <v/>
      </c>
      <c r="E62" s="14" t="str">
        <f t="shared" si="1"/>
        <v/>
      </c>
      <c r="F62" s="14" t="str">
        <f t="shared" si="1"/>
        <v/>
      </c>
    </row>
    <row r="63" spans="1:6" outlineLevel="2" x14ac:dyDescent="0.3">
      <c r="A63" s="5" t="s">
        <v>72</v>
      </c>
      <c r="B63" s="15">
        <f t="shared" ref="B63:F72" si="2">IF(B24/B$24=0,"",B24/B$24)</f>
        <v>1</v>
      </c>
      <c r="C63" s="15">
        <f t="shared" si="2"/>
        <v>1</v>
      </c>
      <c r="D63" s="15">
        <f t="shared" si="2"/>
        <v>1</v>
      </c>
      <c r="E63" s="15">
        <f t="shared" si="2"/>
        <v>1</v>
      </c>
      <c r="F63" s="15">
        <f t="shared" si="2"/>
        <v>1</v>
      </c>
    </row>
    <row r="64" spans="1:6" outlineLevel="2" x14ac:dyDescent="0.3">
      <c r="B64" s="14" t="str">
        <f t="shared" si="2"/>
        <v/>
      </c>
      <c r="C64" s="14" t="str">
        <f t="shared" si="2"/>
        <v/>
      </c>
      <c r="D64" s="14" t="str">
        <f t="shared" si="2"/>
        <v/>
      </c>
      <c r="E64" s="14" t="str">
        <f t="shared" si="2"/>
        <v/>
      </c>
      <c r="F64" s="14" t="str">
        <f t="shared" si="2"/>
        <v/>
      </c>
    </row>
    <row r="65" spans="1:6" outlineLevel="2" x14ac:dyDescent="0.3">
      <c r="A65" s="7" t="s">
        <v>111</v>
      </c>
      <c r="B65" s="14" t="str">
        <f t="shared" si="2"/>
        <v/>
      </c>
      <c r="C65" s="14" t="str">
        <f t="shared" si="2"/>
        <v/>
      </c>
      <c r="D65" s="14" t="str">
        <f t="shared" si="2"/>
        <v/>
      </c>
      <c r="E65" s="14" t="str">
        <f t="shared" si="2"/>
        <v/>
      </c>
      <c r="F65" s="14" t="str">
        <f t="shared" si="2"/>
        <v/>
      </c>
    </row>
    <row r="66" spans="1:6" outlineLevel="2" x14ac:dyDescent="0.3">
      <c r="A66" t="s">
        <v>78</v>
      </c>
      <c r="B66" s="14">
        <f t="shared" si="2"/>
        <v>4.8086359175662417E-2</v>
      </c>
      <c r="C66" s="14">
        <f t="shared" si="2"/>
        <v>4.6796064876362668E-2</v>
      </c>
      <c r="D66" s="14">
        <f t="shared" si="2"/>
        <v>5.6357872490313488E-2</v>
      </c>
      <c r="E66" s="14">
        <f t="shared" si="2"/>
        <v>5.9243697478991594E-2</v>
      </c>
      <c r="F66" s="14">
        <f t="shared" si="2"/>
        <v>5.3435114503816793E-2</v>
      </c>
    </row>
    <row r="67" spans="1:6" outlineLevel="2" x14ac:dyDescent="0.3">
      <c r="A67" t="s">
        <v>81</v>
      </c>
      <c r="B67" s="14">
        <f t="shared" si="2"/>
        <v>0.27477919528949951</v>
      </c>
      <c r="C67" s="14">
        <f t="shared" si="2"/>
        <v>0.24886998138792873</v>
      </c>
      <c r="D67" s="14">
        <f t="shared" si="2"/>
        <v>0.34589644240929907</v>
      </c>
      <c r="E67" s="14">
        <f t="shared" si="2"/>
        <v>0.33823529411764708</v>
      </c>
      <c r="F67" s="14">
        <f t="shared" si="2"/>
        <v>0.27141645462256148</v>
      </c>
    </row>
    <row r="68" spans="1:6" outlineLevel="2" x14ac:dyDescent="0.3">
      <c r="A68" t="s">
        <v>83</v>
      </c>
      <c r="B68" s="14">
        <f t="shared" si="2"/>
        <v>5.152109911678116E-3</v>
      </c>
      <c r="C68" s="14">
        <f t="shared" si="2"/>
        <v>6.6471683063015156E-3</v>
      </c>
      <c r="D68" s="14">
        <f t="shared" si="2"/>
        <v>9.8626276858048614E-3</v>
      </c>
      <c r="E68" s="14">
        <f t="shared" si="2"/>
        <v>1.2184873949579832E-2</v>
      </c>
      <c r="F68" s="14">
        <f t="shared" si="2"/>
        <v>1.2722646310432569E-2</v>
      </c>
    </row>
    <row r="69" spans="1:6" outlineLevel="2" x14ac:dyDescent="0.3">
      <c r="A69" t="s">
        <v>84</v>
      </c>
      <c r="B69" s="14">
        <f t="shared" si="2"/>
        <v>1.9872423945044161E-2</v>
      </c>
      <c r="C69" s="14">
        <f t="shared" si="2"/>
        <v>1.9675618186652487E-2</v>
      </c>
      <c r="D69" s="14">
        <f t="shared" si="2"/>
        <v>7.8196548080309972E-2</v>
      </c>
      <c r="E69" s="14">
        <f t="shared" si="2"/>
        <v>2.9411764705882353E-2</v>
      </c>
      <c r="F69" s="14">
        <f t="shared" si="2"/>
        <v>2.7989821882951654E-2</v>
      </c>
    </row>
    <row r="70" spans="1:6" outlineLevel="2" x14ac:dyDescent="0.3">
      <c r="A70" s="5" t="s">
        <v>87</v>
      </c>
      <c r="B70" s="15">
        <f t="shared" si="2"/>
        <v>0.34813542688910698</v>
      </c>
      <c r="C70" s="15">
        <f t="shared" si="2"/>
        <v>0.32225471948949747</v>
      </c>
      <c r="D70" s="15">
        <f t="shared" si="2"/>
        <v>0.48996125396266293</v>
      </c>
      <c r="E70" s="15">
        <f t="shared" si="2"/>
        <v>0.43907563025210083</v>
      </c>
      <c r="F70" s="15">
        <f t="shared" si="2"/>
        <v>0.3655640373197625</v>
      </c>
    </row>
    <row r="71" spans="1:6" outlineLevel="2" x14ac:dyDescent="0.3">
      <c r="A71" t="s">
        <v>91</v>
      </c>
      <c r="B71" s="14">
        <f t="shared" si="2"/>
        <v>0.19087340529931304</v>
      </c>
      <c r="C71" s="14">
        <f t="shared" si="2"/>
        <v>0.18931135336346716</v>
      </c>
      <c r="D71" s="14">
        <f t="shared" si="2"/>
        <v>0.23952095808383234</v>
      </c>
      <c r="E71" s="14">
        <f t="shared" si="2"/>
        <v>0.27563025210084036</v>
      </c>
      <c r="F71" s="14">
        <f t="shared" si="2"/>
        <v>0.30364715860899066</v>
      </c>
    </row>
    <row r="72" spans="1:6" outlineLevel="2" x14ac:dyDescent="0.3">
      <c r="A72" s="8" t="s">
        <v>110</v>
      </c>
      <c r="B72" s="14">
        <f t="shared" si="2"/>
        <v>1.3738959764474975E-2</v>
      </c>
      <c r="C72" s="14">
        <f t="shared" si="2"/>
        <v>1.2230789683594789E-2</v>
      </c>
      <c r="D72" s="14">
        <f t="shared" si="2"/>
        <v>1.3032758013384995E-2</v>
      </c>
      <c r="E72" s="14">
        <f t="shared" si="2"/>
        <v>1.3445378151260505E-2</v>
      </c>
      <c r="F72" s="14">
        <f t="shared" si="2"/>
        <v>1.3146734520780322E-2</v>
      </c>
    </row>
    <row r="73" spans="1:6" outlineLevel="2" x14ac:dyDescent="0.3">
      <c r="A73" s="5" t="s">
        <v>98</v>
      </c>
      <c r="B73" s="15">
        <f t="shared" ref="B73:F77" si="3">IF(B34/B$24=0,"",B34/B$24)</f>
        <v>0.55471050049067716</v>
      </c>
      <c r="C73" s="15">
        <f t="shared" si="3"/>
        <v>0.58016484977399629</v>
      </c>
      <c r="D73" s="15">
        <f t="shared" si="3"/>
        <v>0.80943994364212746</v>
      </c>
      <c r="E73" s="15">
        <f t="shared" si="3"/>
        <v>0.73487394957983199</v>
      </c>
      <c r="F73" s="15">
        <f t="shared" si="3"/>
        <v>0.68744698897370649</v>
      </c>
    </row>
    <row r="74" spans="1:6" outlineLevel="2" x14ac:dyDescent="0.3">
      <c r="B74" s="14" t="str">
        <f t="shared" si="3"/>
        <v/>
      </c>
      <c r="C74" s="14" t="str">
        <f t="shared" si="3"/>
        <v/>
      </c>
      <c r="D74" s="14" t="str">
        <f t="shared" si="3"/>
        <v/>
      </c>
      <c r="E74" s="14" t="str">
        <f t="shared" si="3"/>
        <v/>
      </c>
      <c r="F74" s="14" t="str">
        <f t="shared" si="3"/>
        <v/>
      </c>
    </row>
    <row r="75" spans="1:6" outlineLevel="2" x14ac:dyDescent="0.3">
      <c r="A75" s="7" t="s">
        <v>112</v>
      </c>
      <c r="B75" s="14" t="str">
        <f t="shared" si="3"/>
        <v/>
      </c>
      <c r="C75" s="14" t="str">
        <f t="shared" si="3"/>
        <v/>
      </c>
      <c r="D75" s="14" t="str">
        <f t="shared" si="3"/>
        <v/>
      </c>
      <c r="E75" s="14" t="str">
        <f t="shared" si="3"/>
        <v/>
      </c>
      <c r="F75" s="14" t="str">
        <f t="shared" si="3"/>
        <v/>
      </c>
    </row>
    <row r="76" spans="1:6" outlineLevel="2" x14ac:dyDescent="0.3">
      <c r="A76" t="s">
        <v>100</v>
      </c>
      <c r="B76" s="14">
        <f t="shared" si="3"/>
        <v>0.44528949950932284</v>
      </c>
      <c r="C76" s="14">
        <f t="shared" si="3"/>
        <v>0.41983515022600371</v>
      </c>
      <c r="D76" s="14">
        <f t="shared" si="3"/>
        <v>0.19091229306093696</v>
      </c>
      <c r="E76" s="14">
        <f t="shared" si="3"/>
        <v>0.26554621848739496</v>
      </c>
      <c r="F76" s="14">
        <f t="shared" si="3"/>
        <v>0.31255301102629346</v>
      </c>
    </row>
    <row r="77" spans="1:6" outlineLevel="2" x14ac:dyDescent="0.3">
      <c r="A77" s="5" t="s">
        <v>76</v>
      </c>
      <c r="B77" s="15">
        <f t="shared" si="3"/>
        <v>1</v>
      </c>
      <c r="C77" s="15">
        <f t="shared" si="3"/>
        <v>1</v>
      </c>
      <c r="D77" s="15">
        <f t="shared" si="3"/>
        <v>1</v>
      </c>
      <c r="E77" s="15">
        <f t="shared" si="3"/>
        <v>1</v>
      </c>
      <c r="F77" s="15">
        <f t="shared" si="3"/>
        <v>1</v>
      </c>
    </row>
    <row r="78" spans="1:6" outlineLevel="2" x14ac:dyDescent="0.3"/>
    <row r="80" spans="1:6" ht="23.4" x14ac:dyDescent="0.45">
      <c r="A80" s="13" t="s">
        <v>116</v>
      </c>
    </row>
    <row r="81" spans="1:6" ht="21.6" outlineLevel="1" thickBot="1" x14ac:dyDescent="0.45">
      <c r="A81" s="9" t="s">
        <v>108</v>
      </c>
      <c r="B81" s="10"/>
      <c r="C81" s="10"/>
      <c r="D81" s="10"/>
      <c r="E81" s="10" t="s">
        <v>113</v>
      </c>
      <c r="F81" s="10"/>
    </row>
    <row r="82" spans="1:6" outlineLevel="1" x14ac:dyDescent="0.3">
      <c r="A82" t="s">
        <v>1</v>
      </c>
      <c r="B82" s="14">
        <f t="shared" ref="B82:E91" si="4">(B4-C4)/C4</f>
        <v>0.14536165097174916</v>
      </c>
      <c r="C82" s="14">
        <f t="shared" si="4"/>
        <v>8.3351421749511614E-2</v>
      </c>
      <c r="D82" s="14">
        <f t="shared" si="4"/>
        <v>0.14105263157894737</v>
      </c>
      <c r="E82" s="14">
        <f t="shared" si="4"/>
        <v>3.0368763557483729E-2</v>
      </c>
      <c r="F82" s="14"/>
    </row>
    <row r="83" spans="1:6" outlineLevel="1" x14ac:dyDescent="0.3">
      <c r="A83" t="s">
        <v>4</v>
      </c>
      <c r="B83" s="14">
        <f t="shared" si="4"/>
        <v>0.14116615519508988</v>
      </c>
      <c r="C83" s="14">
        <f t="shared" si="4"/>
        <v>8.5286071131200195E-2</v>
      </c>
      <c r="D83" s="14">
        <f t="shared" si="4"/>
        <v>0.11454328516505369</v>
      </c>
      <c r="E83" s="14">
        <f t="shared" si="4"/>
        <v>3.7551581843191198E-2</v>
      </c>
      <c r="F83" s="14"/>
    </row>
    <row r="84" spans="1:6" outlineLevel="1" x14ac:dyDescent="0.3">
      <c r="A84" s="5" t="s">
        <v>10</v>
      </c>
      <c r="B84" s="15">
        <f t="shared" si="4"/>
        <v>0.19114219114219114</v>
      </c>
      <c r="C84" s="15">
        <f t="shared" si="4"/>
        <v>6.3197026022304828E-2</v>
      </c>
      <c r="D84" s="15">
        <f t="shared" si="4"/>
        <v>0.51691729323308266</v>
      </c>
      <c r="E84" s="15">
        <f t="shared" si="4"/>
        <v>-6.0070671378091869E-2</v>
      </c>
      <c r="F84" s="15"/>
    </row>
    <row r="85" spans="1:6" outlineLevel="1" x14ac:dyDescent="0.3">
      <c r="A85" t="s">
        <v>155</v>
      </c>
      <c r="B85" s="14">
        <f t="shared" si="4"/>
        <v>0.15515515515515516</v>
      </c>
      <c r="C85" s="14">
        <f t="shared" si="4"/>
        <v>9.5394736842105268E-2</v>
      </c>
      <c r="D85" s="14">
        <f t="shared" si="4"/>
        <v>0.19685039370078741</v>
      </c>
      <c r="E85" s="14">
        <f t="shared" si="4"/>
        <v>0.1580547112462006</v>
      </c>
      <c r="F85" s="14"/>
    </row>
    <row r="86" spans="1:6" outlineLevel="1" x14ac:dyDescent="0.3">
      <c r="A86" s="5" t="s">
        <v>16</v>
      </c>
      <c r="B86" s="15">
        <f t="shared" si="4"/>
        <v>-7.0422535211267609E-2</v>
      </c>
      <c r="C86" s="15">
        <f t="shared" si="4"/>
        <v>0.35238095238095241</v>
      </c>
      <c r="D86" s="15">
        <f t="shared" si="4"/>
        <v>-0.54347826086956519</v>
      </c>
      <c r="E86" s="15">
        <f t="shared" si="4"/>
        <v>1.5</v>
      </c>
      <c r="F86" s="15"/>
    </row>
    <row r="87" spans="1:6" outlineLevel="1" x14ac:dyDescent="0.3">
      <c r="A87" t="s">
        <v>18</v>
      </c>
      <c r="B87" s="14">
        <f t="shared" si="4"/>
        <v>0.17654028436018956</v>
      </c>
      <c r="C87" s="14">
        <f t="shared" si="4"/>
        <v>0.22852983988355166</v>
      </c>
      <c r="D87" s="14">
        <f t="shared" si="4"/>
        <v>-9.8425196850393706E-2</v>
      </c>
      <c r="E87" s="14">
        <f t="shared" si="4"/>
        <v>8.392603129445235E-2</v>
      </c>
      <c r="F87" s="14"/>
    </row>
    <row r="88" spans="1:6" outlineLevel="1" x14ac:dyDescent="0.3">
      <c r="A88" t="s">
        <v>20</v>
      </c>
      <c r="B88" s="14">
        <f t="shared" si="4"/>
        <v>6.6666666666666666E-2</v>
      </c>
      <c r="C88" s="14">
        <f t="shared" si="4"/>
        <v>2.2727272727272728E-2</v>
      </c>
      <c r="D88" s="14">
        <f t="shared" si="4"/>
        <v>-0.15384615384615385</v>
      </c>
      <c r="E88" s="14">
        <f t="shared" si="4"/>
        <v>-1.8867924528301886E-2</v>
      </c>
      <c r="F88" s="14"/>
    </row>
    <row r="89" spans="1:6" outlineLevel="1" x14ac:dyDescent="0.3">
      <c r="A89" s="5" t="s">
        <v>23</v>
      </c>
      <c r="B89" s="15">
        <f t="shared" si="4"/>
        <v>0.23520485584218512</v>
      </c>
      <c r="C89" s="15">
        <f t="shared" si="4"/>
        <v>0.22490706319702602</v>
      </c>
      <c r="D89" s="15">
        <f t="shared" si="4"/>
        <v>0.1115702479338843</v>
      </c>
      <c r="E89" s="15">
        <f t="shared" si="4"/>
        <v>-0.13879003558718861</v>
      </c>
      <c r="F89" s="15"/>
    </row>
    <row r="90" spans="1:6" outlineLevel="1" x14ac:dyDescent="0.3">
      <c r="A90" t="s">
        <v>26</v>
      </c>
      <c r="B90" s="14">
        <f t="shared" si="4"/>
        <v>0.18452380952380953</v>
      </c>
      <c r="C90" s="14">
        <f t="shared" si="4"/>
        <v>0.21739130434782608</v>
      </c>
      <c r="D90" s="14">
        <f t="shared" si="4"/>
        <v>-0.12101910828025478</v>
      </c>
      <c r="E90" s="14">
        <f t="shared" si="4"/>
        <v>9.7902097902097904E-2</v>
      </c>
      <c r="F90" s="14"/>
    </row>
    <row r="91" spans="1:6" outlineLevel="1" x14ac:dyDescent="0.3">
      <c r="A91" s="5" t="s">
        <v>30</v>
      </c>
      <c r="B91" s="15">
        <f t="shared" si="4"/>
        <v>0.2530612244897959</v>
      </c>
      <c r="C91" s="15">
        <f t="shared" si="4"/>
        <v>0.22500000000000001</v>
      </c>
      <c r="D91" s="15">
        <f t="shared" si="4"/>
        <v>0.22324159021406728</v>
      </c>
      <c r="E91" s="15">
        <f t="shared" si="4"/>
        <v>-0.21957040572792363</v>
      </c>
      <c r="F91" s="15"/>
    </row>
    <row r="92" spans="1:6" outlineLevel="1" x14ac:dyDescent="0.3">
      <c r="B92" s="14"/>
      <c r="C92" s="14"/>
      <c r="D92" s="14"/>
      <c r="E92" s="14"/>
      <c r="F92" s="14"/>
    </row>
    <row r="93" spans="1:6" ht="21.6" outlineLevel="1" thickBot="1" x14ac:dyDescent="0.45">
      <c r="A93" s="9" t="s">
        <v>109</v>
      </c>
      <c r="B93" s="16"/>
      <c r="C93" s="16"/>
      <c r="D93" s="16"/>
      <c r="E93" s="16"/>
      <c r="F93" s="16"/>
    </row>
    <row r="94" spans="1:6" outlineLevel="1" x14ac:dyDescent="0.3">
      <c r="A94" s="7" t="s">
        <v>44</v>
      </c>
      <c r="B94" s="14"/>
      <c r="C94" s="14"/>
      <c r="D94" s="14"/>
      <c r="E94" s="14"/>
      <c r="F94" s="14"/>
    </row>
    <row r="95" spans="1:6" outlineLevel="1" x14ac:dyDescent="0.3">
      <c r="A95" t="s">
        <v>45</v>
      </c>
      <c r="B95" s="14">
        <f t="shared" ref="B95:E100" si="5">(B17-C17)/C17</f>
        <v>0.28653295128939826</v>
      </c>
      <c r="C95" s="14">
        <f t="shared" si="5"/>
        <v>4.0579710144927539</v>
      </c>
      <c r="D95" s="14">
        <f t="shared" si="5"/>
        <v>0.62352941176470589</v>
      </c>
      <c r="E95" s="14">
        <f t="shared" si="5"/>
        <v>-0.75714285714285712</v>
      </c>
      <c r="F95" s="14"/>
    </row>
    <row r="96" spans="1:6" outlineLevel="1" x14ac:dyDescent="0.3">
      <c r="A96" t="s">
        <v>49</v>
      </c>
      <c r="B96" s="14">
        <f t="shared" si="5"/>
        <v>1.25</v>
      </c>
      <c r="C96" s="14">
        <f t="shared" si="5"/>
        <v>-0.54545454545454541</v>
      </c>
      <c r="D96" s="14">
        <f t="shared" si="5"/>
        <v>0.51724137931034486</v>
      </c>
      <c r="E96" s="14">
        <f t="shared" si="5"/>
        <v>0.61111111111111116</v>
      </c>
      <c r="F96" s="14"/>
    </row>
    <row r="97" spans="1:6" outlineLevel="1" x14ac:dyDescent="0.3">
      <c r="A97" t="s">
        <v>55</v>
      </c>
      <c r="B97" s="14">
        <f t="shared" si="5"/>
        <v>8.2897684839432412E-2</v>
      </c>
      <c r="C97" s="14">
        <f t="shared" si="5"/>
        <v>0.14054514480408858</v>
      </c>
      <c r="D97" s="14">
        <f t="shared" si="5"/>
        <v>7.4107959743824336E-2</v>
      </c>
      <c r="E97" s="14">
        <f t="shared" si="5"/>
        <v>0.36114570361145704</v>
      </c>
      <c r="F97" s="14"/>
    </row>
    <row r="98" spans="1:6" outlineLevel="1" x14ac:dyDescent="0.3">
      <c r="A98" t="s">
        <v>58</v>
      </c>
      <c r="B98" s="14">
        <f t="shared" si="5"/>
        <v>0.22448979591836735</v>
      </c>
      <c r="C98" s="14">
        <f t="shared" si="5"/>
        <v>0.22500000000000001</v>
      </c>
      <c r="D98" s="14">
        <f t="shared" si="5"/>
        <v>0.1111111111111111</v>
      </c>
      <c r="E98" s="14">
        <f t="shared" si="5"/>
        <v>-0.16279069767441862</v>
      </c>
      <c r="F98" s="14"/>
    </row>
    <row r="99" spans="1:6" outlineLevel="1" x14ac:dyDescent="0.3">
      <c r="A99" s="5" t="s">
        <v>61</v>
      </c>
      <c r="B99" s="15">
        <f t="shared" si="5"/>
        <v>0.16429249762583095</v>
      </c>
      <c r="C99" s="15">
        <f t="shared" si="5"/>
        <v>0.50859598853868193</v>
      </c>
      <c r="D99" s="15">
        <f t="shared" si="5"/>
        <v>0.12308930008045052</v>
      </c>
      <c r="E99" s="15">
        <f t="shared" si="5"/>
        <v>2.3045267489711935E-2</v>
      </c>
      <c r="F99" s="15"/>
    </row>
    <row r="100" spans="1:6" outlineLevel="1" x14ac:dyDescent="0.3">
      <c r="A100" t="s">
        <v>62</v>
      </c>
      <c r="B100" s="14">
        <f t="shared" si="5"/>
        <v>0.11997226074895978</v>
      </c>
      <c r="C100" s="14">
        <f t="shared" si="5"/>
        <v>0.14992025518341306</v>
      </c>
      <c r="D100" s="14">
        <f t="shared" si="5"/>
        <v>0.11764705882352941</v>
      </c>
      <c r="E100" s="14">
        <f t="shared" si="5"/>
        <v>-7.9575596816976128E-3</v>
      </c>
      <c r="F100" s="14"/>
    </row>
    <row r="101" spans="1:6" outlineLevel="1" x14ac:dyDescent="0.3">
      <c r="A101" t="s">
        <v>70</v>
      </c>
      <c r="B101" s="14"/>
      <c r="C101" s="14"/>
      <c r="D101" s="14"/>
      <c r="E101" s="14"/>
      <c r="F101" s="14"/>
    </row>
    <row r="102" spans="1:6" outlineLevel="1" x14ac:dyDescent="0.3">
      <c r="A102" s="5" t="s">
        <v>72</v>
      </c>
      <c r="B102" s="15">
        <f t="shared" ref="B102:E111" si="6">(B24-C24)/C24</f>
        <v>8.3754320659399098E-2</v>
      </c>
      <c r="C102" s="15">
        <f t="shared" si="6"/>
        <v>0.32476224022543149</v>
      </c>
      <c r="D102" s="15">
        <f t="shared" si="6"/>
        <v>0.19285714285714287</v>
      </c>
      <c r="E102" s="15">
        <f t="shared" si="6"/>
        <v>9.3299406276505514E-3</v>
      </c>
      <c r="F102" s="15"/>
    </row>
    <row r="103" spans="1:6" outlineLevel="1" x14ac:dyDescent="0.3">
      <c r="B103" s="14"/>
      <c r="C103" s="14"/>
      <c r="D103" s="14"/>
      <c r="E103" s="14"/>
      <c r="F103" s="14"/>
    </row>
    <row r="104" spans="1:6" outlineLevel="1" x14ac:dyDescent="0.3">
      <c r="A104" s="7" t="s">
        <v>111</v>
      </c>
      <c r="B104" s="14"/>
      <c r="C104" s="14"/>
      <c r="D104" s="14"/>
      <c r="E104" s="14"/>
      <c r="F104" s="14"/>
    </row>
    <row r="105" spans="1:6" outlineLevel="1" x14ac:dyDescent="0.3">
      <c r="A105" t="s">
        <v>78</v>
      </c>
      <c r="B105" s="14">
        <f t="shared" si="6"/>
        <v>0.11363636363636363</v>
      </c>
      <c r="C105" s="14">
        <f t="shared" si="6"/>
        <v>0.1</v>
      </c>
      <c r="D105" s="14">
        <f t="shared" si="6"/>
        <v>0.13475177304964539</v>
      </c>
      <c r="E105" s="14">
        <f t="shared" si="6"/>
        <v>0.11904761904761904</v>
      </c>
      <c r="F105" s="14"/>
    </row>
    <row r="106" spans="1:6" outlineLevel="1" x14ac:dyDescent="0.3">
      <c r="A106" t="s">
        <v>81</v>
      </c>
      <c r="B106" s="14">
        <f t="shared" si="6"/>
        <v>0.19658119658119658</v>
      </c>
      <c r="C106" s="14">
        <f t="shared" si="6"/>
        <v>-4.684317718940937E-2</v>
      </c>
      <c r="D106" s="14">
        <f t="shared" si="6"/>
        <v>0.21987577639751552</v>
      </c>
      <c r="E106" s="14">
        <f t="shared" si="6"/>
        <v>0.2578125</v>
      </c>
      <c r="F106" s="14"/>
    </row>
    <row r="107" spans="1:6" outlineLevel="1" x14ac:dyDescent="0.3">
      <c r="A107" t="s">
        <v>83</v>
      </c>
      <c r="B107" s="14">
        <f t="shared" si="6"/>
        <v>-0.16</v>
      </c>
      <c r="C107" s="14">
        <f t="shared" si="6"/>
        <v>-0.10714285714285714</v>
      </c>
      <c r="D107" s="14">
        <f t="shared" si="6"/>
        <v>-3.4482758620689655E-2</v>
      </c>
      <c r="E107" s="14">
        <f t="shared" si="6"/>
        <v>-3.3333333333333333E-2</v>
      </c>
      <c r="F107" s="14"/>
    </row>
    <row r="108" spans="1:6" outlineLevel="1" x14ac:dyDescent="0.3">
      <c r="A108" t="s">
        <v>84</v>
      </c>
      <c r="B108" s="14">
        <f t="shared" si="6"/>
        <v>9.45945945945946E-2</v>
      </c>
      <c r="C108" s="14">
        <f t="shared" si="6"/>
        <v>-0.66666666666666663</v>
      </c>
      <c r="D108" s="14">
        <f t="shared" si="6"/>
        <v>2.1714285714285713</v>
      </c>
      <c r="E108" s="14">
        <f t="shared" si="6"/>
        <v>6.0606060606060608E-2</v>
      </c>
      <c r="F108" s="14"/>
    </row>
    <row r="109" spans="1:6" outlineLevel="1" x14ac:dyDescent="0.3">
      <c r="A109" s="5" t="s">
        <v>87</v>
      </c>
      <c r="B109" s="15">
        <f t="shared" si="6"/>
        <v>0.1707920792079208</v>
      </c>
      <c r="C109" s="15">
        <f t="shared" si="6"/>
        <v>-0.12868439971243709</v>
      </c>
      <c r="D109" s="15">
        <f t="shared" si="6"/>
        <v>0.33110047846889951</v>
      </c>
      <c r="E109" s="15">
        <f t="shared" si="6"/>
        <v>0.21229698375870071</v>
      </c>
      <c r="F109" s="15"/>
    </row>
    <row r="110" spans="1:6" outlineLevel="1" x14ac:dyDescent="0.3">
      <c r="A110" t="s">
        <v>91</v>
      </c>
      <c r="B110" s="14">
        <f t="shared" si="6"/>
        <v>9.269662921348315E-2</v>
      </c>
      <c r="C110" s="14">
        <f t="shared" si="6"/>
        <v>4.7058823529411764E-2</v>
      </c>
      <c r="D110" s="14">
        <f t="shared" si="6"/>
        <v>3.6585365853658534E-2</v>
      </c>
      <c r="E110" s="14">
        <f t="shared" si="6"/>
        <v>-8.3798882681564241E-2</v>
      </c>
      <c r="F110" s="14"/>
    </row>
    <row r="111" spans="1:6" outlineLevel="1" x14ac:dyDescent="0.3">
      <c r="A111" s="8" t="s">
        <v>110</v>
      </c>
      <c r="B111" s="14">
        <f t="shared" si="6"/>
        <v>0.21739130434782608</v>
      </c>
      <c r="C111" s="14">
        <f t="shared" si="6"/>
        <v>0.24324324324324326</v>
      </c>
      <c r="D111" s="14">
        <f t="shared" si="6"/>
        <v>0.15625</v>
      </c>
      <c r="E111" s="14">
        <f t="shared" si="6"/>
        <v>3.2258064516129031E-2</v>
      </c>
      <c r="F111" s="14"/>
    </row>
    <row r="112" spans="1:6" outlineLevel="1" x14ac:dyDescent="0.3">
      <c r="A112" s="5" t="s">
        <v>98</v>
      </c>
      <c r="B112" s="15">
        <f t="shared" ref="B112:E116" si="7">(B34-C34)/C34</f>
        <v>3.6205316223648032E-2</v>
      </c>
      <c r="C112" s="15">
        <f t="shared" si="7"/>
        <v>-5.0478677110530897E-2</v>
      </c>
      <c r="D112" s="15">
        <f t="shared" si="7"/>
        <v>0.313893653516295</v>
      </c>
      <c r="E112" s="15">
        <f t="shared" si="7"/>
        <v>7.8963602714373846E-2</v>
      </c>
      <c r="F112" s="15"/>
    </row>
    <row r="113" spans="1:6" outlineLevel="1" x14ac:dyDescent="0.3">
      <c r="B113" s="14"/>
      <c r="C113" s="14"/>
      <c r="D113" s="14"/>
      <c r="E113" s="14"/>
      <c r="F113" s="14"/>
    </row>
    <row r="114" spans="1:6" outlineLevel="1" x14ac:dyDescent="0.3">
      <c r="A114" s="7" t="s">
        <v>112</v>
      </c>
      <c r="B114" s="14"/>
      <c r="C114" s="14"/>
      <c r="D114" s="14"/>
      <c r="E114" s="14"/>
      <c r="F114" s="14"/>
    </row>
    <row r="115" spans="1:6" outlineLevel="1" x14ac:dyDescent="0.3">
      <c r="A115" t="s">
        <v>100</v>
      </c>
      <c r="B115" s="14">
        <f t="shared" si="7"/>
        <v>0.14946168461051298</v>
      </c>
      <c r="C115" s="14">
        <f t="shared" si="7"/>
        <v>1.9132841328413284</v>
      </c>
      <c r="D115" s="14">
        <f t="shared" si="7"/>
        <v>-0.14240506329113925</v>
      </c>
      <c r="E115" s="14">
        <f t="shared" si="7"/>
        <v>-0.14246947082767977</v>
      </c>
      <c r="F115" s="14"/>
    </row>
    <row r="116" spans="1:6" outlineLevel="1" x14ac:dyDescent="0.3">
      <c r="A116" s="5" t="s">
        <v>76</v>
      </c>
      <c r="B116" s="15">
        <f t="shared" si="7"/>
        <v>8.3754320659399098E-2</v>
      </c>
      <c r="C116" s="15">
        <f t="shared" si="7"/>
        <v>0.32476224022543149</v>
      </c>
      <c r="D116" s="15">
        <f t="shared" si="7"/>
        <v>0.19285714285714287</v>
      </c>
      <c r="E116" s="15">
        <f t="shared" si="7"/>
        <v>9.3299406276505514E-3</v>
      </c>
      <c r="F116" s="15"/>
    </row>
    <row r="117" spans="1:6" outlineLevel="1" x14ac:dyDescent="0.3"/>
    <row r="120" spans="1:6" x14ac:dyDescent="0.3">
      <c r="A120" s="20" t="s">
        <v>136</v>
      </c>
      <c r="B120" s="17"/>
      <c r="C120" s="17"/>
      <c r="D120" s="17"/>
      <c r="E120" s="17"/>
      <c r="F120" s="17"/>
    </row>
    <row r="121" spans="1:6" x14ac:dyDescent="0.3">
      <c r="A121" s="21" t="s">
        <v>117</v>
      </c>
      <c r="B121" s="27">
        <f t="shared" ref="B121:F121" si="8">B82</f>
        <v>0.14536165097174916</v>
      </c>
      <c r="C121" s="27">
        <f t="shared" si="8"/>
        <v>8.3351421749511614E-2</v>
      </c>
      <c r="D121" s="27">
        <f t="shared" si="8"/>
        <v>0.14105263157894737</v>
      </c>
      <c r="E121" s="27">
        <f t="shared" si="8"/>
        <v>3.0368763557483729E-2</v>
      </c>
      <c r="F121" s="27">
        <f t="shared" si="8"/>
        <v>0</v>
      </c>
    </row>
    <row r="122" spans="1:6" x14ac:dyDescent="0.3">
      <c r="A122" s="21" t="s">
        <v>118</v>
      </c>
      <c r="B122" s="23">
        <f t="shared" ref="B122:F122" si="9">B91</f>
        <v>0.2530612244897959</v>
      </c>
      <c r="C122" s="23">
        <f t="shared" si="9"/>
        <v>0.22500000000000001</v>
      </c>
      <c r="D122" s="22">
        <f t="shared" si="9"/>
        <v>0.22324159021406728</v>
      </c>
      <c r="E122" s="22">
        <f t="shared" si="9"/>
        <v>-0.21957040572792363</v>
      </c>
      <c r="F122" s="22">
        <f t="shared" si="9"/>
        <v>0</v>
      </c>
    </row>
    <row r="123" spans="1:6" x14ac:dyDescent="0.3">
      <c r="A123" s="19" t="s">
        <v>135</v>
      </c>
      <c r="B123" s="18"/>
      <c r="C123" s="18"/>
      <c r="D123" s="18"/>
      <c r="E123" s="18"/>
      <c r="F123" s="18"/>
    </row>
    <row r="124" spans="1:6" x14ac:dyDescent="0.3">
      <c r="A124" s="21" t="s">
        <v>119</v>
      </c>
      <c r="B124" s="23">
        <f t="shared" ref="B124:F124" si="10">(B4-B5)/B4</f>
        <v>8.9302895128137841E-2</v>
      </c>
      <c r="C124" s="23">
        <f t="shared" si="10"/>
        <v>8.5954718493287924E-2</v>
      </c>
      <c r="D124" s="23">
        <f t="shared" si="10"/>
        <v>8.7584111135229001E-2</v>
      </c>
      <c r="E124" s="23">
        <f t="shared" si="10"/>
        <v>6.5882352941176475E-2</v>
      </c>
      <c r="F124" s="23">
        <f t="shared" si="10"/>
        <v>7.2349113181064184E-2</v>
      </c>
    </row>
    <row r="125" spans="1:6" x14ac:dyDescent="0.3">
      <c r="A125" s="21" t="s">
        <v>120</v>
      </c>
      <c r="B125" s="23">
        <f t="shared" ref="B125:F125" si="11">B47</f>
        <v>-1.1545526108632905E-2</v>
      </c>
      <c r="C125" s="23">
        <f t="shared" si="11"/>
        <v>-1.4225606090963735E-2</v>
      </c>
      <c r="D125" s="23">
        <f t="shared" si="11"/>
        <v>-1.139570219231604E-2</v>
      </c>
      <c r="E125" s="23">
        <f t="shared" si="11"/>
        <v>-2.848297213622291E-2</v>
      </c>
      <c r="F125" s="23">
        <f t="shared" si="11"/>
        <v>-1.1739185912976905E-2</v>
      </c>
    </row>
    <row r="126" spans="1:6" x14ac:dyDescent="0.3">
      <c r="A126" s="21" t="s">
        <v>121</v>
      </c>
      <c r="B126" s="23">
        <f t="shared" ref="B126:F126" si="12">B52</f>
        <v>5.3704189626519724E-2</v>
      </c>
      <c r="C126" s="23">
        <f t="shared" si="12"/>
        <v>4.9088359046283309E-2</v>
      </c>
      <c r="D126" s="23">
        <f t="shared" si="12"/>
        <v>4.3412198827870632E-2</v>
      </c>
      <c r="E126" s="23">
        <f t="shared" si="12"/>
        <v>4.0495356037151702E-2</v>
      </c>
      <c r="F126" s="23">
        <f t="shared" si="12"/>
        <v>5.3464335842796987E-2</v>
      </c>
    </row>
    <row r="127" spans="1:6" x14ac:dyDescent="0.3">
      <c r="A127" s="21" t="s">
        <v>122</v>
      </c>
      <c r="B127" s="23">
        <f t="shared" ref="B127:F127" si="13">B13/AVERAGE(B24:C24)</f>
        <v>0.15669261196886564</v>
      </c>
      <c r="C127" s="23">
        <f t="shared" si="13"/>
        <v>0.1484848484848485</v>
      </c>
      <c r="D127" s="23">
        <f t="shared" si="13"/>
        <v>0.15328607012837708</v>
      </c>
      <c r="E127" s="23">
        <f t="shared" si="13"/>
        <v>0.13803292528493036</v>
      </c>
      <c r="F127" s="23">
        <f t="shared" si="13"/>
        <v>0.17769296013570823</v>
      </c>
    </row>
    <row r="128" spans="1:6" x14ac:dyDescent="0.3">
      <c r="A128" s="21" t="s">
        <v>123</v>
      </c>
      <c r="B128" s="23">
        <f>B13/AVERAGE(B37:C37)</f>
        <v>0.36181496758986448</v>
      </c>
      <c r="C128" s="23">
        <f t="shared" ref="C128:F128" si="14">C13/AVERAGE(C37:D37)</f>
        <v>0.46204620462046203</v>
      </c>
      <c r="D128" s="23">
        <f t="shared" si="14"/>
        <v>0.68143100511073251</v>
      </c>
      <c r="E128" s="23">
        <f t="shared" si="14"/>
        <v>0.47772096420745069</v>
      </c>
      <c r="F128" s="23">
        <f t="shared" si="14"/>
        <v>0.56852103120759834</v>
      </c>
    </row>
    <row r="129" spans="1:6" x14ac:dyDescent="0.3">
      <c r="A129" s="19" t="s">
        <v>134</v>
      </c>
      <c r="B129" s="18"/>
      <c r="C129" s="18"/>
      <c r="D129" s="18"/>
      <c r="E129" s="18"/>
      <c r="F129" s="18"/>
    </row>
    <row r="130" spans="1:6" x14ac:dyDescent="0.3">
      <c r="A130" s="21" t="s">
        <v>74</v>
      </c>
      <c r="B130" s="24">
        <f t="shared" ref="B130:F130" si="15">B4/AVERAGE(B24:C24)</f>
        <v>2.9176980987622816</v>
      </c>
      <c r="C130" s="24">
        <f t="shared" si="15"/>
        <v>3.0248484848484849</v>
      </c>
      <c r="D130" s="24">
        <f t="shared" si="15"/>
        <v>3.5309446254071659</v>
      </c>
      <c r="E130" s="24">
        <f t="shared" si="15"/>
        <v>3.4086112283663992</v>
      </c>
      <c r="F130" s="24">
        <f t="shared" si="15"/>
        <v>3.3235793044953352</v>
      </c>
    </row>
    <row r="131" spans="1:6" x14ac:dyDescent="0.3">
      <c r="A131" s="21" t="s">
        <v>124</v>
      </c>
      <c r="B131" s="24">
        <f t="shared" ref="B131:F131" si="16">B5/AVERAGE(B19:C19)</f>
        <v>7.4664754392255288</v>
      </c>
      <c r="C131" s="24">
        <f t="shared" si="16"/>
        <v>7.261440509351373</v>
      </c>
      <c r="D131" s="24">
        <f t="shared" si="16"/>
        <v>7.4168504631671812</v>
      </c>
      <c r="E131" s="24">
        <f t="shared" si="16"/>
        <v>7.9567510548523206</v>
      </c>
      <c r="F131" s="24">
        <f t="shared" si="16"/>
        <v>9.0535491905354917</v>
      </c>
    </row>
    <row r="132" spans="1:6" x14ac:dyDescent="0.3">
      <c r="A132" s="21" t="s">
        <v>125</v>
      </c>
      <c r="B132" s="24">
        <f t="shared" ref="B132:F132" si="17">B4/AVERAGE(B18:C18)</f>
        <v>351.78461538461539</v>
      </c>
      <c r="C132" s="24">
        <f t="shared" si="17"/>
        <v>311.9375</v>
      </c>
      <c r="D132" s="24">
        <f t="shared" si="17"/>
        <v>252.43835616438355</v>
      </c>
      <c r="E132" s="24">
        <f t="shared" si="17"/>
        <v>343.61702127659572</v>
      </c>
      <c r="F132" s="24">
        <f t="shared" si="17"/>
        <v>435.38888888888891</v>
      </c>
    </row>
    <row r="133" spans="1:6" x14ac:dyDescent="0.3">
      <c r="A133" s="21" t="s">
        <v>126</v>
      </c>
      <c r="B133" s="24">
        <f t="shared" ref="B133:F133" si="18">B5/AVERAGE(B28:C28)</f>
        <v>10.1284046692607</v>
      </c>
      <c r="C133" s="24">
        <f t="shared" si="18"/>
        <v>9.5140771637121997</v>
      </c>
      <c r="D133" s="24">
        <f t="shared" si="18"/>
        <v>9.4090654728595418</v>
      </c>
      <c r="E133" s="24">
        <f t="shared" si="18"/>
        <v>10.440138408304499</v>
      </c>
      <c r="F133" s="24">
        <f t="shared" si="18"/>
        <v>11.359375</v>
      </c>
    </row>
    <row r="134" spans="1:6" x14ac:dyDescent="0.3">
      <c r="A134" s="19" t="s">
        <v>133</v>
      </c>
      <c r="B134" s="18"/>
      <c r="C134" s="18"/>
      <c r="D134" s="18"/>
      <c r="E134" s="18"/>
      <c r="F134" s="18"/>
    </row>
    <row r="135" spans="1:6" x14ac:dyDescent="0.3">
      <c r="A135" s="21" t="s">
        <v>127</v>
      </c>
      <c r="B135" s="25">
        <f t="shared" ref="B135:F135" si="19">(B21-B19)/B31</f>
        <v>0.70613107822410148</v>
      </c>
      <c r="C135" s="25">
        <f t="shared" si="19"/>
        <v>0.63283828382838281</v>
      </c>
      <c r="D135" s="25">
        <f t="shared" si="19"/>
        <v>0.15959741193386054</v>
      </c>
      <c r="E135" s="25">
        <f t="shared" si="19"/>
        <v>0.14354066985645933</v>
      </c>
      <c r="F135" s="25">
        <f t="shared" si="19"/>
        <v>0.47795823665893272</v>
      </c>
    </row>
    <row r="136" spans="1:6" x14ac:dyDescent="0.3">
      <c r="A136" s="21" t="s">
        <v>128</v>
      </c>
      <c r="B136" s="25">
        <f t="shared" ref="B136:F136" si="20">B21/B31</f>
        <v>1.7279774489076816</v>
      </c>
      <c r="C136" s="25">
        <f t="shared" si="20"/>
        <v>1.7376237623762376</v>
      </c>
      <c r="D136" s="25">
        <f t="shared" si="20"/>
        <v>1.0035945363048167</v>
      </c>
      <c r="E136" s="25">
        <f t="shared" si="20"/>
        <v>1.1894736842105262</v>
      </c>
      <c r="F136" s="25">
        <f t="shared" si="20"/>
        <v>1.4095127610208817</v>
      </c>
    </row>
    <row r="137" spans="1:6" x14ac:dyDescent="0.3">
      <c r="A137" s="21" t="s">
        <v>90</v>
      </c>
      <c r="B137" s="25">
        <f t="shared" ref="B137:F137" si="21">B17/B31</f>
        <v>0.63284002818886542</v>
      </c>
      <c r="C137" s="25">
        <f t="shared" si="21"/>
        <v>0.57590759075907594</v>
      </c>
      <c r="D137" s="25">
        <f t="shared" si="21"/>
        <v>9.9209202012940326E-2</v>
      </c>
      <c r="E137" s="25">
        <f t="shared" si="21"/>
        <v>8.1339712918660281E-2</v>
      </c>
      <c r="F137" s="25">
        <f t="shared" si="21"/>
        <v>0.40603248259860791</v>
      </c>
    </row>
    <row r="138" spans="1:6" x14ac:dyDescent="0.3">
      <c r="A138" s="19" t="s">
        <v>132</v>
      </c>
      <c r="B138" s="18"/>
      <c r="C138" s="18"/>
      <c r="D138" s="18"/>
      <c r="E138" s="18"/>
      <c r="F138" s="18"/>
    </row>
    <row r="139" spans="1:6" x14ac:dyDescent="0.3">
      <c r="A139" s="21" t="s">
        <v>129</v>
      </c>
      <c r="B139" s="25">
        <f t="shared" ref="B139:F139" si="22">B34/B24</f>
        <v>0.55471050049067716</v>
      </c>
      <c r="C139" s="25">
        <f t="shared" si="22"/>
        <v>0.58016484977399629</v>
      </c>
      <c r="D139" s="25">
        <f t="shared" si="22"/>
        <v>0.80943994364212746</v>
      </c>
      <c r="E139" s="25">
        <f t="shared" si="22"/>
        <v>0.73487394957983199</v>
      </c>
      <c r="F139" s="25">
        <f t="shared" si="22"/>
        <v>0.68744698897370649</v>
      </c>
    </row>
    <row r="140" spans="1:6" x14ac:dyDescent="0.3">
      <c r="A140" s="21" t="s">
        <v>130</v>
      </c>
      <c r="B140" s="25">
        <f t="shared" ref="B140:F140" si="23">B34/B37</f>
        <v>1.2457300275482093</v>
      </c>
      <c r="C140" s="25">
        <f t="shared" si="23"/>
        <v>1.3818872704243192</v>
      </c>
      <c r="D140" s="25">
        <f t="shared" si="23"/>
        <v>4.2398523985239853</v>
      </c>
      <c r="E140" s="25">
        <f t="shared" si="23"/>
        <v>2.7674050632911391</v>
      </c>
      <c r="F140" s="25">
        <f t="shared" si="23"/>
        <v>2.1994572591587516</v>
      </c>
    </row>
    <row r="141" spans="1:6" x14ac:dyDescent="0.3">
      <c r="A141" s="21" t="s">
        <v>131</v>
      </c>
      <c r="B141" s="25">
        <f t="shared" ref="B141:F141" si="24">B8/B10</f>
        <v>-2.75</v>
      </c>
      <c r="C141" s="25">
        <f t="shared" si="24"/>
        <v>-3.1555555555555554</v>
      </c>
      <c r="D141" s="25">
        <f t="shared" si="24"/>
        <v>-2.3863636363636362</v>
      </c>
      <c r="E141" s="25">
        <f t="shared" si="24"/>
        <v>-4.4230769230769234</v>
      </c>
      <c r="F141" s="25">
        <f t="shared" si="24"/>
        <v>-1.7358490566037736</v>
      </c>
    </row>
    <row r="142" spans="1:6" x14ac:dyDescent="0.3">
      <c r="B142" s="26"/>
      <c r="C142" s="26"/>
      <c r="D142" s="26"/>
      <c r="E142"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4A85-E0D0-431D-A28C-965B9D74B789}">
  <dimension ref="B1:M209"/>
  <sheetViews>
    <sheetView showGridLines="0" tabSelected="1" topLeftCell="B95" zoomScale="70" zoomScaleNormal="70" workbookViewId="0">
      <selection activeCell="K187" sqref="K187"/>
    </sheetView>
  </sheetViews>
  <sheetFormatPr defaultRowHeight="14.4" outlineLevelRow="1" x14ac:dyDescent="0.3"/>
  <cols>
    <col min="1" max="1" width="1.88671875" customWidth="1"/>
    <col min="2" max="2" width="48.21875" customWidth="1"/>
    <col min="3" max="3" width="14.21875" customWidth="1"/>
    <col min="4" max="6" width="9.21875" bestFit="1" customWidth="1"/>
    <col min="7" max="7" width="9.109375" customWidth="1"/>
    <col min="8" max="8" width="14" bestFit="1" customWidth="1"/>
  </cols>
  <sheetData>
    <row r="1" spans="2:13" ht="28.8" x14ac:dyDescent="0.55000000000000004">
      <c r="B1" s="28" t="s">
        <v>137</v>
      </c>
    </row>
    <row r="2" spans="2:13" x14ac:dyDescent="0.3">
      <c r="B2" s="30"/>
      <c r="C2" s="30"/>
      <c r="D2" s="30"/>
      <c r="E2" s="30"/>
      <c r="F2" s="30"/>
      <c r="G2" s="30"/>
      <c r="H2" s="30"/>
      <c r="I2" s="30"/>
      <c r="J2" s="30"/>
      <c r="K2" s="30"/>
      <c r="L2" s="30"/>
      <c r="M2" s="30"/>
    </row>
    <row r="3" spans="2:13" x14ac:dyDescent="0.3">
      <c r="B3" s="30"/>
      <c r="C3" s="30"/>
      <c r="D3" s="30"/>
      <c r="E3" s="30"/>
      <c r="F3" s="30"/>
      <c r="G3" s="30"/>
      <c r="H3" s="30"/>
      <c r="I3" s="30"/>
      <c r="J3" s="30"/>
      <c r="K3" s="30"/>
      <c r="L3" s="30"/>
      <c r="M3" s="30"/>
    </row>
    <row r="4" spans="2:13" ht="21" x14ac:dyDescent="0.4">
      <c r="B4" s="29" t="s">
        <v>138</v>
      </c>
    </row>
    <row r="5" spans="2:13" x14ac:dyDescent="0.3">
      <c r="B5" s="30"/>
      <c r="C5" s="30"/>
      <c r="D5" s="30"/>
      <c r="E5" s="30"/>
      <c r="F5" s="30"/>
      <c r="G5" s="30"/>
      <c r="H5" s="30"/>
      <c r="I5" s="30"/>
      <c r="J5" s="30"/>
      <c r="K5" s="30"/>
      <c r="L5" s="30"/>
      <c r="M5" s="30"/>
    </row>
    <row r="6" spans="2:13" outlineLevel="1" x14ac:dyDescent="0.3">
      <c r="B6" s="7" t="s">
        <v>139</v>
      </c>
    </row>
    <row r="7" spans="2:13" outlineLevel="1" x14ac:dyDescent="0.3"/>
    <row r="8" spans="2:13" outlineLevel="1" x14ac:dyDescent="0.3">
      <c r="B8" t="s">
        <v>140</v>
      </c>
    </row>
    <row r="9" spans="2:13" outlineLevel="1" x14ac:dyDescent="0.3"/>
    <row r="10" spans="2:13" x14ac:dyDescent="0.3">
      <c r="B10" s="30"/>
      <c r="C10" s="30"/>
      <c r="D10" s="30"/>
      <c r="E10" s="30"/>
      <c r="F10" s="30"/>
      <c r="G10" s="30"/>
      <c r="H10" s="30"/>
      <c r="I10" s="30"/>
      <c r="J10" s="30"/>
      <c r="K10" s="30"/>
      <c r="L10" s="30"/>
      <c r="M10" s="30"/>
    </row>
    <row r="11" spans="2:13" ht="21" x14ac:dyDescent="0.4">
      <c r="B11" s="29" t="s">
        <v>141</v>
      </c>
    </row>
    <row r="12" spans="2:13" x14ac:dyDescent="0.3">
      <c r="B12" s="30"/>
      <c r="C12" s="30"/>
      <c r="D12" s="30"/>
      <c r="E12" s="30"/>
      <c r="F12" s="30"/>
      <c r="G12" s="30"/>
      <c r="H12" s="30"/>
      <c r="I12" s="30"/>
      <c r="J12" s="30"/>
      <c r="K12" s="30"/>
      <c r="L12" s="30"/>
      <c r="M12" s="30"/>
    </row>
    <row r="13" spans="2:13" s="7" customFormat="1" outlineLevel="1" x14ac:dyDescent="0.3">
      <c r="B13" s="69" t="s">
        <v>142</v>
      </c>
      <c r="C13" s="69" t="s">
        <v>143</v>
      </c>
      <c r="D13" s="69" t="s">
        <v>144</v>
      </c>
      <c r="E13" s="73"/>
      <c r="F13" s="73"/>
      <c r="G13" s="73"/>
    </row>
    <row r="14" spans="2:13" outlineLevel="1" x14ac:dyDescent="0.3">
      <c r="B14" s="31" t="s">
        <v>145</v>
      </c>
    </row>
    <row r="15" spans="2:13" outlineLevel="1" x14ac:dyDescent="0.3">
      <c r="B15" s="31" t="s">
        <v>146</v>
      </c>
    </row>
    <row r="16" spans="2:13" outlineLevel="1" x14ac:dyDescent="0.3">
      <c r="B16" s="31" t="s">
        <v>148</v>
      </c>
      <c r="C16" s="37">
        <v>0.09</v>
      </c>
      <c r="D16" t="s">
        <v>174</v>
      </c>
    </row>
    <row r="17" spans="2:13" outlineLevel="1" x14ac:dyDescent="0.3">
      <c r="B17" s="31" t="s">
        <v>149</v>
      </c>
      <c r="C17" s="37">
        <v>0.01</v>
      </c>
    </row>
    <row r="18" spans="2:13" outlineLevel="1" x14ac:dyDescent="0.3">
      <c r="B18" s="31" t="s">
        <v>150</v>
      </c>
      <c r="C18" s="37">
        <v>0.02</v>
      </c>
      <c r="D18" t="s">
        <v>311</v>
      </c>
    </row>
    <row r="19" spans="2:13" outlineLevel="1" x14ac:dyDescent="0.3">
      <c r="B19" s="31" t="s">
        <v>151</v>
      </c>
      <c r="C19" s="2">
        <v>3.5000000000000003E-2</v>
      </c>
      <c r="D19" t="s">
        <v>303</v>
      </c>
    </row>
    <row r="20" spans="2:13" outlineLevel="1" x14ac:dyDescent="0.3">
      <c r="B20" s="31" t="s">
        <v>152</v>
      </c>
      <c r="C20" s="2">
        <v>5.7799999999999997E-2</v>
      </c>
      <c r="D20" t="s">
        <v>304</v>
      </c>
    </row>
    <row r="21" spans="2:13" outlineLevel="1" x14ac:dyDescent="0.3">
      <c r="B21" s="31" t="s">
        <v>153</v>
      </c>
      <c r="C21" s="37">
        <v>0.24</v>
      </c>
      <c r="D21" t="s">
        <v>305</v>
      </c>
    </row>
    <row r="22" spans="2:13" outlineLevel="1" x14ac:dyDescent="0.3"/>
    <row r="23" spans="2:13" x14ac:dyDescent="0.3">
      <c r="B23" s="30"/>
      <c r="C23" s="30"/>
      <c r="D23" s="30"/>
      <c r="E23" s="30"/>
      <c r="F23" s="30"/>
      <c r="G23" s="30"/>
      <c r="H23" s="30"/>
      <c r="I23" s="30"/>
      <c r="J23" s="30"/>
      <c r="K23" s="30"/>
      <c r="L23" s="30"/>
      <c r="M23" s="30"/>
    </row>
    <row r="24" spans="2:13" ht="21" x14ac:dyDescent="0.3">
      <c r="B24" s="32" t="s">
        <v>154</v>
      </c>
    </row>
    <row r="25" spans="2:13" collapsed="1" x14ac:dyDescent="0.3">
      <c r="B25" s="30"/>
      <c r="C25" s="30"/>
      <c r="D25" s="30"/>
      <c r="E25" s="30"/>
      <c r="F25" s="30"/>
      <c r="G25" s="30"/>
      <c r="H25" s="30"/>
      <c r="I25" s="30"/>
      <c r="J25" s="30"/>
      <c r="K25" s="30"/>
      <c r="L25" s="30"/>
      <c r="M25" s="30"/>
    </row>
    <row r="26" spans="2:13" ht="18" outlineLevel="1" x14ac:dyDescent="0.35">
      <c r="B26" s="36" t="s">
        <v>172</v>
      </c>
      <c r="C26" s="30"/>
      <c r="D26" s="30"/>
      <c r="E26" s="30"/>
      <c r="F26" s="30"/>
      <c r="G26" s="30"/>
      <c r="H26" s="30"/>
      <c r="I26" s="30"/>
      <c r="J26" s="30"/>
      <c r="K26" s="30"/>
      <c r="L26" s="30"/>
      <c r="M26" s="30"/>
    </row>
    <row r="27" spans="2:13" s="7" customFormat="1" outlineLevel="1" x14ac:dyDescent="0.3">
      <c r="B27" s="69" t="s">
        <v>156</v>
      </c>
      <c r="C27" s="69">
        <v>2025</v>
      </c>
      <c r="D27" s="69">
        <v>2024</v>
      </c>
      <c r="E27" s="69">
        <v>2023</v>
      </c>
      <c r="F27" s="69">
        <v>2022</v>
      </c>
      <c r="G27" s="69">
        <v>2021</v>
      </c>
    </row>
    <row r="28" spans="2:13" outlineLevel="1" x14ac:dyDescent="0.3">
      <c r="B28" s="7" t="s">
        <v>157</v>
      </c>
      <c r="C28" s="1">
        <f>Data!B4</f>
        <v>11433</v>
      </c>
      <c r="D28" s="1">
        <f>Data!C4</f>
        <v>9982</v>
      </c>
      <c r="E28" s="1">
        <f>Data!D4</f>
        <v>9214</v>
      </c>
      <c r="F28" s="1">
        <f>Data!E4</f>
        <v>8075</v>
      </c>
      <c r="G28" s="1">
        <f>Data!F4</f>
        <v>7837</v>
      </c>
    </row>
    <row r="29" spans="2:13" outlineLevel="1" x14ac:dyDescent="0.3">
      <c r="B29" t="s">
        <v>158</v>
      </c>
      <c r="C29" s="34">
        <f t="shared" ref="C29:F29" si="0">C28/D28-1</f>
        <v>0.14536165097174925</v>
      </c>
      <c r="D29" s="34">
        <f t="shared" si="0"/>
        <v>8.3351421749511712E-2</v>
      </c>
      <c r="E29" s="34">
        <f t="shared" si="0"/>
        <v>0.14105263157894732</v>
      </c>
      <c r="F29" s="34">
        <f t="shared" si="0"/>
        <v>3.0368763557483636E-2</v>
      </c>
    </row>
    <row r="30" spans="2:13" outlineLevel="1" x14ac:dyDescent="0.3">
      <c r="B30" s="7" t="s">
        <v>159</v>
      </c>
      <c r="C30" s="1">
        <f>Data!B7</f>
        <v>10135</v>
      </c>
      <c r="D30" s="1">
        <f>Data!C7</f>
        <v>8877</v>
      </c>
      <c r="E30" s="1">
        <f>Data!D7</f>
        <v>8185</v>
      </c>
      <c r="F30" s="1">
        <f>Data!E7</f>
        <v>7334</v>
      </c>
      <c r="G30" s="1">
        <f>Data!F7</f>
        <v>7081</v>
      </c>
    </row>
    <row r="31" spans="2:13" outlineLevel="1" x14ac:dyDescent="0.3">
      <c r="B31" t="s">
        <v>160</v>
      </c>
      <c r="C31" s="34">
        <f t="shared" ref="C31:G31" si="1">C30/C28</f>
        <v>0.88646899326510975</v>
      </c>
      <c r="D31" s="34">
        <f t="shared" si="1"/>
        <v>0.88930074133440196</v>
      </c>
      <c r="E31" s="34">
        <f t="shared" si="1"/>
        <v>0.88832211851530285</v>
      </c>
      <c r="F31" s="34">
        <f t="shared" si="1"/>
        <v>0.90823529411764703</v>
      </c>
      <c r="G31" s="34">
        <f t="shared" si="1"/>
        <v>0.90353451575858112</v>
      </c>
    </row>
    <row r="32" spans="2:13" outlineLevel="1" x14ac:dyDescent="0.3">
      <c r="B32" s="7" t="s">
        <v>161</v>
      </c>
      <c r="C32" s="35">
        <f>Data!B12+Data!B8</f>
        <v>1299</v>
      </c>
      <c r="D32" s="35">
        <f>Data!C12+Data!C8</f>
        <v>1105</v>
      </c>
      <c r="E32" s="35">
        <f>Data!D12+Data!D8</f>
        <v>1030</v>
      </c>
      <c r="F32" s="35">
        <f>Data!E12+Data!E8</f>
        <v>741</v>
      </c>
      <c r="G32" s="35">
        <f>Data!F12+Data!F8</f>
        <v>756</v>
      </c>
    </row>
    <row r="33" spans="2:7" outlineLevel="1" x14ac:dyDescent="0.3">
      <c r="B33" t="s">
        <v>162</v>
      </c>
      <c r="C33" s="34">
        <f t="shared" ref="C33:G33" si="2">C32/C28</f>
        <v>0.11361847284177382</v>
      </c>
      <c r="D33" s="34">
        <f t="shared" si="2"/>
        <v>0.11069925866559807</v>
      </c>
      <c r="E33" s="34">
        <f t="shared" si="2"/>
        <v>0.11178641198176688</v>
      </c>
      <c r="F33" s="34">
        <f t="shared" si="2"/>
        <v>9.1764705882352943E-2</v>
      </c>
      <c r="G33" s="34">
        <f t="shared" si="2"/>
        <v>9.6465484241418917E-2</v>
      </c>
    </row>
    <row r="34" spans="2:7" outlineLevel="1" x14ac:dyDescent="0.3">
      <c r="B34" s="7" t="s">
        <v>163</v>
      </c>
      <c r="C34" s="1">
        <f>Data!B16</f>
        <v>1154</v>
      </c>
      <c r="D34" s="1">
        <f>Data!C16</f>
        <v>999</v>
      </c>
      <c r="E34" s="1">
        <f>Data!D16</f>
        <v>912</v>
      </c>
      <c r="F34" s="1">
        <f>Data!E16</f>
        <v>762</v>
      </c>
      <c r="G34" s="1">
        <f>Data!F16</f>
        <v>658</v>
      </c>
    </row>
    <row r="35" spans="2:7" outlineLevel="1" x14ac:dyDescent="0.3">
      <c r="B35" t="s">
        <v>160</v>
      </c>
      <c r="C35" s="34">
        <f t="shared" ref="C35:G35" si="3">C34/C28</f>
        <v>0.10093588734365433</v>
      </c>
      <c r="D35" s="34">
        <f t="shared" si="3"/>
        <v>0.10008014425966739</v>
      </c>
      <c r="E35" s="34">
        <f t="shared" si="3"/>
        <v>9.8979813327545046E-2</v>
      </c>
      <c r="F35" s="34">
        <f t="shared" si="3"/>
        <v>9.4365325077399378E-2</v>
      </c>
      <c r="G35" s="34">
        <f t="shared" si="3"/>
        <v>8.3960699247160903E-2</v>
      </c>
    </row>
    <row r="36" spans="2:7" outlineLevel="1" x14ac:dyDescent="0.3">
      <c r="B36" s="7" t="s">
        <v>41</v>
      </c>
      <c r="C36" s="35">
        <f t="shared" ref="C36:G36" si="4">C32-C34</f>
        <v>145</v>
      </c>
      <c r="D36" s="35">
        <f t="shared" si="4"/>
        <v>106</v>
      </c>
      <c r="E36" s="35">
        <f t="shared" si="4"/>
        <v>118</v>
      </c>
      <c r="F36" s="35">
        <f t="shared" si="4"/>
        <v>-21</v>
      </c>
      <c r="G36" s="35">
        <f t="shared" si="4"/>
        <v>98</v>
      </c>
    </row>
    <row r="37" spans="2:7" outlineLevel="1" x14ac:dyDescent="0.3">
      <c r="B37" t="s">
        <v>162</v>
      </c>
      <c r="C37" s="34">
        <f t="shared" ref="C37:G37" si="5">C36/C28</f>
        <v>1.2682585498119479E-2</v>
      </c>
      <c r="D37" s="34">
        <f t="shared" si="5"/>
        <v>1.0619114405930675E-2</v>
      </c>
      <c r="E37" s="34">
        <f t="shared" si="5"/>
        <v>1.2806598654221837E-2</v>
      </c>
      <c r="F37" s="34">
        <f t="shared" si="5"/>
        <v>-2.6006191950464397E-3</v>
      </c>
      <c r="G37" s="34">
        <f t="shared" si="5"/>
        <v>1.2504784994258007E-2</v>
      </c>
    </row>
    <row r="38" spans="2:7" outlineLevel="1" x14ac:dyDescent="0.3">
      <c r="B38" s="7" t="s">
        <v>7</v>
      </c>
      <c r="C38">
        <f>Data!B9</f>
        <v>277</v>
      </c>
      <c r="D38">
        <f>Data!C9</f>
        <v>247</v>
      </c>
      <c r="E38">
        <f>Data!D9</f>
        <v>223</v>
      </c>
      <c r="F38">
        <f>Data!E9</f>
        <v>209</v>
      </c>
      <c r="G38">
        <f>Data!F9</f>
        <v>190</v>
      </c>
    </row>
    <row r="39" spans="2:7" outlineLevel="1" x14ac:dyDescent="0.3">
      <c r="B39" t="s">
        <v>164</v>
      </c>
      <c r="C39" s="34">
        <f t="shared" ref="C39:G39" si="6">C38/C28</f>
        <v>2.4228111606752385E-2</v>
      </c>
      <c r="D39" s="34">
        <f t="shared" si="6"/>
        <v>2.4744540172310158E-2</v>
      </c>
      <c r="E39" s="34">
        <f t="shared" si="6"/>
        <v>2.4202300846537877E-2</v>
      </c>
      <c r="F39" s="34">
        <f t="shared" si="6"/>
        <v>2.5882352941176471E-2</v>
      </c>
      <c r="G39" s="34">
        <f t="shared" si="6"/>
        <v>2.4243970907234912E-2</v>
      </c>
    </row>
    <row r="40" spans="2:7" outlineLevel="1" x14ac:dyDescent="0.3">
      <c r="B40" s="7" t="s">
        <v>16</v>
      </c>
      <c r="C40" s="35">
        <f>C36-C38+Data!B21</f>
        <v>-132</v>
      </c>
      <c r="D40" s="35">
        <f>D36-D38+Data!C21</f>
        <v>-142</v>
      </c>
      <c r="E40" s="35">
        <f>E36-E38+Data!D21</f>
        <v>-105</v>
      </c>
      <c r="F40" s="35">
        <f>F36-F38+Data!E21</f>
        <v>-230</v>
      </c>
      <c r="G40" s="35">
        <f>G36-G38+Data!F21</f>
        <v>-92</v>
      </c>
    </row>
    <row r="41" spans="2:7" outlineLevel="1" x14ac:dyDescent="0.3">
      <c r="B41" t="s">
        <v>162</v>
      </c>
      <c r="C41" s="34">
        <f t="shared" ref="C41:G41" si="7">C40/C28</f>
        <v>-1.1545526108632905E-2</v>
      </c>
      <c r="D41" s="34">
        <f t="shared" si="7"/>
        <v>-1.4225606090963735E-2</v>
      </c>
      <c r="E41" s="34">
        <f t="shared" si="7"/>
        <v>-1.139570219231604E-2</v>
      </c>
      <c r="F41" s="34">
        <f t="shared" si="7"/>
        <v>-2.848297213622291E-2</v>
      </c>
      <c r="G41" s="34">
        <f t="shared" si="7"/>
        <v>-1.1739185912976905E-2</v>
      </c>
    </row>
    <row r="42" spans="2:7" outlineLevel="1" x14ac:dyDescent="0.3">
      <c r="B42" s="7" t="s">
        <v>165</v>
      </c>
      <c r="C42">
        <f>Data!B23</f>
        <v>993</v>
      </c>
      <c r="D42">
        <f>Data!C23</f>
        <v>844</v>
      </c>
      <c r="E42">
        <f>Data!D23</f>
        <v>687</v>
      </c>
      <c r="F42">
        <f>Data!E23</f>
        <v>762</v>
      </c>
      <c r="G42">
        <f>Data!F23</f>
        <v>703</v>
      </c>
    </row>
    <row r="43" spans="2:7" outlineLevel="1" x14ac:dyDescent="0.3">
      <c r="B43" s="7" t="s">
        <v>166</v>
      </c>
      <c r="C43">
        <f>Data!B25</f>
        <v>48</v>
      </c>
      <c r="D43">
        <f>Data!C25</f>
        <v>45</v>
      </c>
      <c r="E43">
        <f>Data!D25</f>
        <v>44</v>
      </c>
      <c r="F43">
        <f>Data!E25</f>
        <v>52</v>
      </c>
      <c r="G43">
        <f>Data!F25</f>
        <v>53</v>
      </c>
    </row>
    <row r="44" spans="2:7" outlineLevel="1" x14ac:dyDescent="0.3">
      <c r="B44" t="s">
        <v>167</v>
      </c>
      <c r="C44" s="34">
        <f>C43/Data!B100</f>
        <v>0.24489795918367346</v>
      </c>
      <c r="D44" s="34">
        <f>D43/Data!C100</f>
        <v>0.25568181818181818</v>
      </c>
      <c r="E44" s="34">
        <f>E43/Data!D100</f>
        <v>0.27500000000000002</v>
      </c>
      <c r="F44" s="34">
        <f>F43/Data!E100</f>
        <v>0.36879432624113473</v>
      </c>
      <c r="G44" s="34">
        <f>G43/Data!F100</f>
        <v>0.42063492063492064</v>
      </c>
    </row>
    <row r="45" spans="2:7" outlineLevel="1" x14ac:dyDescent="0.3">
      <c r="B45" s="7" t="s">
        <v>168</v>
      </c>
      <c r="C45" s="35">
        <f>Data!B29</f>
        <v>814</v>
      </c>
      <c r="D45" s="35">
        <f>Data!C29</f>
        <v>659</v>
      </c>
      <c r="E45" s="35">
        <f>Data!D29</f>
        <v>538</v>
      </c>
      <c r="F45" s="35">
        <f>Data!E29</f>
        <v>484</v>
      </c>
      <c r="G45" s="35">
        <f>Data!F29</f>
        <v>562</v>
      </c>
    </row>
    <row r="46" spans="2:7" outlineLevel="1" x14ac:dyDescent="0.3">
      <c r="B46" t="s">
        <v>160</v>
      </c>
      <c r="C46" s="34">
        <f t="shared" ref="C46:G46" si="8">C45/C28</f>
        <v>7.1197411003236247E-2</v>
      </c>
      <c r="D46" s="34">
        <f t="shared" si="8"/>
        <v>6.6018833901021839E-2</v>
      </c>
      <c r="E46" s="34">
        <f t="shared" si="8"/>
        <v>5.8389407423486001E-2</v>
      </c>
      <c r="F46" s="34">
        <f t="shared" si="8"/>
        <v>5.9938080495356039E-2</v>
      </c>
      <c r="G46" s="34">
        <f t="shared" si="8"/>
        <v>7.1711113946663269E-2</v>
      </c>
    </row>
    <row r="47" spans="2:7" outlineLevel="1" x14ac:dyDescent="0.3">
      <c r="B47" s="7" t="s">
        <v>169</v>
      </c>
      <c r="C47">
        <f>Data!B33</f>
        <v>199</v>
      </c>
      <c r="D47">
        <f>Data!C33</f>
        <v>168</v>
      </c>
      <c r="E47">
        <f>Data!D33</f>
        <v>138</v>
      </c>
      <c r="F47">
        <f>Data!E33</f>
        <v>157</v>
      </c>
      <c r="G47">
        <f>Data!F33</f>
        <v>143</v>
      </c>
    </row>
    <row r="48" spans="2:7" outlineLevel="1" x14ac:dyDescent="0.3">
      <c r="B48" t="s">
        <v>170</v>
      </c>
      <c r="C48" s="34">
        <f t="shared" ref="C48:G48" si="9">C47/C45</f>
        <v>0.24447174447174447</v>
      </c>
      <c r="D48" s="34">
        <f t="shared" si="9"/>
        <v>0.25493171471927162</v>
      </c>
      <c r="E48" s="34">
        <f t="shared" si="9"/>
        <v>0.25650557620817843</v>
      </c>
      <c r="F48" s="34">
        <f t="shared" si="9"/>
        <v>0.32438016528925617</v>
      </c>
      <c r="G48" s="34">
        <f t="shared" si="9"/>
        <v>0.25444839857651247</v>
      </c>
    </row>
    <row r="49" spans="2:13" outlineLevel="1" x14ac:dyDescent="0.3">
      <c r="B49" s="7" t="s">
        <v>171</v>
      </c>
      <c r="C49" s="35">
        <f>Data!B38</f>
        <v>614</v>
      </c>
      <c r="D49" s="35">
        <f>Data!C38</f>
        <v>490</v>
      </c>
      <c r="E49" s="35">
        <f>Data!D38</f>
        <v>400</v>
      </c>
      <c r="F49" s="35">
        <f>Data!E38</f>
        <v>327</v>
      </c>
      <c r="G49" s="35">
        <f>Data!F38</f>
        <v>419</v>
      </c>
    </row>
    <row r="50" spans="2:13" outlineLevel="1" x14ac:dyDescent="0.3">
      <c r="B50" t="s">
        <v>160</v>
      </c>
      <c r="C50" s="34">
        <f t="shared" ref="C50:G50" si="10">C49/C28</f>
        <v>5.3704189626519724E-2</v>
      </c>
      <c r="D50" s="34">
        <f t="shared" si="10"/>
        <v>4.9088359046283309E-2</v>
      </c>
      <c r="E50" s="34">
        <f t="shared" si="10"/>
        <v>4.3412198827870632E-2</v>
      </c>
      <c r="F50" s="34">
        <f t="shared" si="10"/>
        <v>4.0495356037151702E-2</v>
      </c>
      <c r="G50" s="34">
        <f t="shared" si="10"/>
        <v>5.3464335842796987E-2</v>
      </c>
    </row>
    <row r="51" spans="2:13" outlineLevel="1" x14ac:dyDescent="0.3"/>
    <row r="52" spans="2:13" ht="18" outlineLevel="1" x14ac:dyDescent="0.35">
      <c r="B52" s="36" t="s">
        <v>109</v>
      </c>
      <c r="C52" s="30"/>
      <c r="D52" s="30"/>
      <c r="E52" s="30"/>
      <c r="F52" s="30"/>
      <c r="G52" s="30"/>
      <c r="H52" s="30"/>
      <c r="I52" s="30"/>
      <c r="J52" s="30"/>
      <c r="K52" s="30"/>
      <c r="L52" s="30"/>
      <c r="M52" s="30"/>
    </row>
    <row r="53" spans="2:13" s="7" customFormat="1" outlineLevel="1" x14ac:dyDescent="0.3">
      <c r="B53" s="69" t="s">
        <v>156</v>
      </c>
      <c r="C53" s="69">
        <v>2025</v>
      </c>
      <c r="D53" s="69">
        <v>2024</v>
      </c>
      <c r="E53" s="69">
        <v>2023</v>
      </c>
      <c r="F53" s="69">
        <v>2022</v>
      </c>
      <c r="G53" s="69">
        <v>2021</v>
      </c>
    </row>
    <row r="54" spans="2:13" outlineLevel="1" x14ac:dyDescent="0.3">
      <c r="B54" s="7" t="s">
        <v>44</v>
      </c>
    </row>
    <row r="55" spans="2:13" outlineLevel="1" x14ac:dyDescent="0.3">
      <c r="B55" t="s">
        <v>45</v>
      </c>
      <c r="C55">
        <v>898</v>
      </c>
      <c r="D55">
        <v>698</v>
      </c>
      <c r="E55">
        <v>138</v>
      </c>
      <c r="F55">
        <v>85</v>
      </c>
      <c r="G55">
        <v>350</v>
      </c>
    </row>
    <row r="56" spans="2:13" outlineLevel="1" x14ac:dyDescent="0.3">
      <c r="B56" t="s">
        <v>49</v>
      </c>
      <c r="C56">
        <v>45</v>
      </c>
      <c r="D56">
        <v>20</v>
      </c>
      <c r="E56">
        <v>44</v>
      </c>
      <c r="F56">
        <v>29</v>
      </c>
      <c r="G56">
        <v>18</v>
      </c>
    </row>
    <row r="57" spans="2:13" outlineLevel="1" x14ac:dyDescent="0.3">
      <c r="B57" t="s">
        <v>55</v>
      </c>
      <c r="C57" s="1">
        <v>1450</v>
      </c>
      <c r="D57" s="1">
        <v>1339</v>
      </c>
      <c r="E57" s="1">
        <v>1174</v>
      </c>
      <c r="F57" s="1">
        <v>1093</v>
      </c>
      <c r="G57">
        <v>803</v>
      </c>
    </row>
    <row r="58" spans="2:13" outlineLevel="1" x14ac:dyDescent="0.3">
      <c r="B58" t="s">
        <v>58</v>
      </c>
      <c r="C58">
        <v>60</v>
      </c>
      <c r="D58">
        <v>49</v>
      </c>
      <c r="E58">
        <v>40</v>
      </c>
      <c r="F58">
        <v>36</v>
      </c>
      <c r="G58">
        <v>43</v>
      </c>
    </row>
    <row r="59" spans="2:13" outlineLevel="1" x14ac:dyDescent="0.3">
      <c r="B59" s="5" t="s">
        <v>61</v>
      </c>
      <c r="C59" s="6">
        <v>2452</v>
      </c>
      <c r="D59" s="6">
        <v>2106</v>
      </c>
      <c r="E59" s="6">
        <v>1396</v>
      </c>
      <c r="F59" s="6">
        <v>1243</v>
      </c>
      <c r="G59" s="6">
        <v>1215</v>
      </c>
    </row>
    <row r="60" spans="2:13" outlineLevel="1" x14ac:dyDescent="0.3">
      <c r="B60" t="s">
        <v>62</v>
      </c>
      <c r="C60" s="1">
        <v>1615</v>
      </c>
      <c r="D60" s="1">
        <v>1442</v>
      </c>
      <c r="E60" s="1">
        <v>1254</v>
      </c>
      <c r="F60" s="1">
        <v>1122</v>
      </c>
      <c r="G60" s="1">
        <v>1131</v>
      </c>
    </row>
    <row r="61" spans="2:13" outlineLevel="1" x14ac:dyDescent="0.3">
      <c r="B61" t="s">
        <v>70</v>
      </c>
      <c r="C61">
        <v>0</v>
      </c>
      <c r="D61">
        <v>0</v>
      </c>
      <c r="E61">
        <v>0</v>
      </c>
      <c r="F61">
        <v>0</v>
      </c>
      <c r="G61">
        <v>0</v>
      </c>
    </row>
    <row r="62" spans="2:13" outlineLevel="1" x14ac:dyDescent="0.3">
      <c r="B62" s="5" t="s">
        <v>72</v>
      </c>
      <c r="C62" s="6">
        <v>4076</v>
      </c>
      <c r="D62" s="6">
        <v>3761</v>
      </c>
      <c r="E62" s="6">
        <v>2839</v>
      </c>
      <c r="F62" s="6">
        <v>2380</v>
      </c>
      <c r="G62" s="6">
        <v>2358</v>
      </c>
    </row>
    <row r="63" spans="2:13" outlineLevel="1" x14ac:dyDescent="0.3"/>
    <row r="64" spans="2:13" outlineLevel="1" x14ac:dyDescent="0.3">
      <c r="B64" s="7" t="s">
        <v>111</v>
      </c>
    </row>
    <row r="65" spans="2:13" outlineLevel="1" x14ac:dyDescent="0.3">
      <c r="B65" t="s">
        <v>78</v>
      </c>
      <c r="C65">
        <v>196</v>
      </c>
      <c r="D65">
        <v>176</v>
      </c>
      <c r="E65">
        <v>160</v>
      </c>
      <c r="F65">
        <v>141</v>
      </c>
      <c r="G65">
        <v>126</v>
      </c>
    </row>
    <row r="66" spans="2:13" outlineLevel="1" x14ac:dyDescent="0.3">
      <c r="B66" t="s">
        <v>81</v>
      </c>
      <c r="C66" s="1">
        <v>1120</v>
      </c>
      <c r="D66">
        <v>936</v>
      </c>
      <c r="E66">
        <v>982</v>
      </c>
      <c r="F66">
        <v>805</v>
      </c>
      <c r="G66">
        <v>640</v>
      </c>
    </row>
    <row r="67" spans="2:13" outlineLevel="1" x14ac:dyDescent="0.3">
      <c r="B67" t="s">
        <v>83</v>
      </c>
      <c r="C67">
        <v>21</v>
      </c>
      <c r="D67">
        <v>25</v>
      </c>
      <c r="E67">
        <v>28</v>
      </c>
      <c r="F67">
        <v>29</v>
      </c>
      <c r="G67">
        <v>30</v>
      </c>
    </row>
    <row r="68" spans="2:13" outlineLevel="1" x14ac:dyDescent="0.3">
      <c r="B68" t="s">
        <v>84</v>
      </c>
      <c r="C68">
        <v>81</v>
      </c>
      <c r="D68">
        <v>74</v>
      </c>
      <c r="E68">
        <v>222</v>
      </c>
      <c r="F68">
        <v>70</v>
      </c>
      <c r="G68">
        <v>66</v>
      </c>
    </row>
    <row r="69" spans="2:13" outlineLevel="1" x14ac:dyDescent="0.3">
      <c r="B69" s="5" t="s">
        <v>87</v>
      </c>
      <c r="C69" s="6">
        <v>1419</v>
      </c>
      <c r="D69" s="6">
        <v>1212</v>
      </c>
      <c r="E69" s="6">
        <v>1391</v>
      </c>
      <c r="F69" s="6">
        <v>1045</v>
      </c>
      <c r="G69" s="5">
        <v>862</v>
      </c>
    </row>
    <row r="70" spans="2:13" outlineLevel="1" x14ac:dyDescent="0.3">
      <c r="B70" t="s">
        <v>91</v>
      </c>
      <c r="C70">
        <v>778</v>
      </c>
      <c r="D70">
        <v>712</v>
      </c>
      <c r="E70">
        <v>680</v>
      </c>
      <c r="F70">
        <v>656</v>
      </c>
      <c r="G70">
        <v>716</v>
      </c>
    </row>
    <row r="71" spans="2:13" outlineLevel="1" x14ac:dyDescent="0.3">
      <c r="B71" s="8" t="s">
        <v>110</v>
      </c>
      <c r="C71">
        <v>56</v>
      </c>
      <c r="D71">
        <v>46</v>
      </c>
      <c r="E71">
        <v>37</v>
      </c>
      <c r="F71">
        <v>32</v>
      </c>
      <c r="G71">
        <v>31</v>
      </c>
    </row>
    <row r="72" spans="2:13" outlineLevel="1" x14ac:dyDescent="0.3">
      <c r="B72" s="5" t="s">
        <v>98</v>
      </c>
      <c r="C72" s="6">
        <v>2261</v>
      </c>
      <c r="D72" s="6">
        <v>2182</v>
      </c>
      <c r="E72" s="6">
        <v>2298</v>
      </c>
      <c r="F72" s="6">
        <v>1749</v>
      </c>
      <c r="G72" s="6">
        <v>1621</v>
      </c>
    </row>
    <row r="73" spans="2:13" outlineLevel="1" x14ac:dyDescent="0.3"/>
    <row r="74" spans="2:13" outlineLevel="1" x14ac:dyDescent="0.3">
      <c r="B74" s="7" t="s">
        <v>112</v>
      </c>
    </row>
    <row r="75" spans="2:13" outlineLevel="1" x14ac:dyDescent="0.3">
      <c r="B75" t="s">
        <v>100</v>
      </c>
      <c r="C75" s="1">
        <v>1815</v>
      </c>
      <c r="D75" s="1">
        <v>1579</v>
      </c>
      <c r="E75">
        <v>542</v>
      </c>
      <c r="F75">
        <v>632</v>
      </c>
      <c r="G75">
        <v>737</v>
      </c>
    </row>
    <row r="76" spans="2:13" outlineLevel="1" x14ac:dyDescent="0.3">
      <c r="B76" s="5" t="s">
        <v>76</v>
      </c>
      <c r="C76" s="6">
        <v>4076</v>
      </c>
      <c r="D76" s="6">
        <v>3761</v>
      </c>
      <c r="E76" s="6">
        <v>2839</v>
      </c>
      <c r="F76" s="6">
        <v>2380</v>
      </c>
      <c r="G76" s="6">
        <v>2358</v>
      </c>
    </row>
    <row r="77" spans="2:13" outlineLevel="1" x14ac:dyDescent="0.3"/>
    <row r="78" spans="2:13" x14ac:dyDescent="0.3">
      <c r="B78" s="30"/>
      <c r="C78" s="30"/>
      <c r="D78" s="30"/>
      <c r="E78" s="30"/>
      <c r="F78" s="30"/>
      <c r="G78" s="30"/>
      <c r="H78" s="30"/>
      <c r="I78" s="30"/>
      <c r="J78" s="30"/>
      <c r="K78" s="30"/>
      <c r="L78" s="30"/>
      <c r="M78" s="30"/>
    </row>
    <row r="79" spans="2:13" ht="21" x14ac:dyDescent="0.4">
      <c r="B79" s="29" t="s">
        <v>173</v>
      </c>
    </row>
    <row r="80" spans="2:13" ht="15" thickBot="1" x14ac:dyDescent="0.35">
      <c r="B80" s="30"/>
      <c r="C80" s="30"/>
      <c r="D80" s="30"/>
      <c r="E80" s="30"/>
      <c r="F80" s="30"/>
      <c r="G80" s="30"/>
      <c r="H80" s="30"/>
      <c r="I80" s="30"/>
      <c r="J80" s="30"/>
      <c r="K80" s="30"/>
      <c r="L80" s="30"/>
      <c r="M80" s="30"/>
    </row>
    <row r="81" spans="2:13" s="7" customFormat="1" ht="15" outlineLevel="1" thickBot="1" x14ac:dyDescent="0.35">
      <c r="B81" s="74" t="s">
        <v>175</v>
      </c>
      <c r="C81" s="75" t="s">
        <v>176</v>
      </c>
      <c r="D81" s="76" t="s">
        <v>177</v>
      </c>
      <c r="E81" s="77" t="s">
        <v>178</v>
      </c>
      <c r="F81" s="77" t="s">
        <v>179</v>
      </c>
      <c r="G81" s="78" t="s">
        <v>180</v>
      </c>
    </row>
    <row r="82" spans="2:13" ht="15" outlineLevel="1" thickBot="1" x14ac:dyDescent="0.35">
      <c r="B82" s="44" t="s">
        <v>181</v>
      </c>
      <c r="C82" s="57">
        <f t="array" ref="C82:G82">CHOOSE(D84,C85:G85,C86:G86,C87:G87)</f>
        <v>0.11</v>
      </c>
      <c r="D82" s="58">
        <v>0.1</v>
      </c>
      <c r="E82" s="57">
        <v>9.0000000000000011E-2</v>
      </c>
      <c r="F82" s="59">
        <v>8.0000000000000016E-2</v>
      </c>
      <c r="G82" s="59">
        <v>7.0000000000000021E-2</v>
      </c>
    </row>
    <row r="83" spans="2:13" ht="15" outlineLevel="1" thickBot="1" x14ac:dyDescent="0.35">
      <c r="B83" s="44" t="s">
        <v>182</v>
      </c>
      <c r="C83" s="60">
        <f>C28*(1+C82)</f>
        <v>12690.630000000001</v>
      </c>
      <c r="D83" s="61">
        <f t="shared" ref="D83:G83" si="11">C83*(1+D82)</f>
        <v>13959.693000000003</v>
      </c>
      <c r="E83" s="60">
        <f t="shared" si="11"/>
        <v>15216.065370000004</v>
      </c>
      <c r="F83" s="62">
        <f t="shared" si="11"/>
        <v>16433.350599600006</v>
      </c>
      <c r="G83" s="62">
        <f t="shared" si="11"/>
        <v>17583.685141572008</v>
      </c>
    </row>
    <row r="84" spans="2:13" ht="15" outlineLevel="1" thickBot="1" x14ac:dyDescent="0.35">
      <c r="B84" s="45" t="s">
        <v>183</v>
      </c>
      <c r="C84" s="46" t="s">
        <v>185</v>
      </c>
      <c r="D84" s="56">
        <f>MATCH(C84,B85:B87,0)</f>
        <v>2</v>
      </c>
      <c r="E84" s="46"/>
      <c r="F84" s="47"/>
      <c r="G84" s="47"/>
    </row>
    <row r="85" spans="2:13" ht="15" outlineLevel="1" thickBot="1" x14ac:dyDescent="0.35">
      <c r="B85" s="42" t="s">
        <v>184</v>
      </c>
      <c r="C85" s="49">
        <f>C16</f>
        <v>0.09</v>
      </c>
      <c r="D85" s="37">
        <f t="shared" ref="D85:G87" si="12">C85-taper_rate</f>
        <v>0.08</v>
      </c>
      <c r="E85" s="49">
        <f t="shared" si="12"/>
        <v>7.0000000000000007E-2</v>
      </c>
      <c r="F85" s="50">
        <f t="shared" si="12"/>
        <v>6.0000000000000005E-2</v>
      </c>
      <c r="G85" s="50">
        <f t="shared" si="12"/>
        <v>0.05</v>
      </c>
    </row>
    <row r="86" spans="2:13" ht="15" outlineLevel="1" thickBot="1" x14ac:dyDescent="0.35">
      <c r="B86" s="48" t="s">
        <v>185</v>
      </c>
      <c r="C86" s="51">
        <f>C85+2%</f>
        <v>0.11</v>
      </c>
      <c r="D86" s="53">
        <f t="shared" si="12"/>
        <v>0.1</v>
      </c>
      <c r="E86" s="51">
        <f t="shared" si="12"/>
        <v>9.0000000000000011E-2</v>
      </c>
      <c r="F86" s="54">
        <f t="shared" si="12"/>
        <v>8.0000000000000016E-2</v>
      </c>
      <c r="G86" s="54">
        <f t="shared" si="12"/>
        <v>7.0000000000000021E-2</v>
      </c>
    </row>
    <row r="87" spans="2:13" ht="15" outlineLevel="1" thickBot="1" x14ac:dyDescent="0.35">
      <c r="B87" s="43" t="s">
        <v>186</v>
      </c>
      <c r="C87" s="52">
        <f>C85-2%</f>
        <v>6.9999999999999993E-2</v>
      </c>
      <c r="D87" s="55">
        <f t="shared" si="12"/>
        <v>5.9999999999999991E-2</v>
      </c>
      <c r="E87" s="51">
        <f t="shared" si="12"/>
        <v>4.9999999999999989E-2</v>
      </c>
      <c r="F87" s="54">
        <f t="shared" si="12"/>
        <v>3.9999999999999987E-2</v>
      </c>
      <c r="G87" s="54">
        <f t="shared" si="12"/>
        <v>2.9999999999999985E-2</v>
      </c>
    </row>
    <row r="88" spans="2:13" ht="15" outlineLevel="1" thickBot="1" x14ac:dyDescent="0.35">
      <c r="B88" s="39"/>
      <c r="C88" s="39"/>
      <c r="D88" s="40"/>
      <c r="E88" s="39"/>
      <c r="F88" s="38"/>
    </row>
    <row r="89" spans="2:13" x14ac:dyDescent="0.3">
      <c r="B89" s="30"/>
      <c r="C89" s="30"/>
      <c r="D89" s="30"/>
      <c r="E89" s="30"/>
      <c r="F89" s="30"/>
      <c r="G89" s="30"/>
      <c r="H89" s="30"/>
      <c r="I89" s="30"/>
      <c r="J89" s="30"/>
      <c r="K89" s="30"/>
      <c r="L89" s="30"/>
      <c r="M89" s="30"/>
    </row>
    <row r="90" spans="2:13" ht="21" x14ac:dyDescent="0.4">
      <c r="B90" s="29" t="s">
        <v>187</v>
      </c>
    </row>
    <row r="91" spans="2:13" ht="15" thickBot="1" x14ac:dyDescent="0.35">
      <c r="B91" s="30"/>
      <c r="C91" s="30"/>
      <c r="D91" s="30"/>
      <c r="E91" s="30"/>
      <c r="F91" s="30"/>
      <c r="G91" s="30"/>
      <c r="H91" s="30"/>
      <c r="I91" s="30"/>
      <c r="J91" s="30"/>
      <c r="K91" s="30"/>
      <c r="L91" s="30"/>
      <c r="M91" s="30"/>
    </row>
    <row r="92" spans="2:13" s="7" customFormat="1" ht="15" outlineLevel="1" thickBot="1" x14ac:dyDescent="0.35">
      <c r="B92" s="74" t="s">
        <v>156</v>
      </c>
      <c r="C92" s="75" t="s">
        <v>176</v>
      </c>
      <c r="D92" s="79" t="s">
        <v>177</v>
      </c>
      <c r="E92" s="75" t="s">
        <v>178</v>
      </c>
      <c r="F92" s="79" t="s">
        <v>179</v>
      </c>
      <c r="G92" s="75" t="s">
        <v>180</v>
      </c>
    </row>
    <row r="93" spans="2:13" ht="15" outlineLevel="1" collapsed="1" thickBot="1" x14ac:dyDescent="0.35">
      <c r="B93" s="44" t="s">
        <v>147</v>
      </c>
      <c r="C93" s="60">
        <f t="shared" ref="C93:G93" si="13">C83</f>
        <v>12690.630000000001</v>
      </c>
      <c r="D93" s="61">
        <f t="shared" si="13"/>
        <v>13959.693000000003</v>
      </c>
      <c r="E93" s="60">
        <f t="shared" si="13"/>
        <v>15216.065370000004</v>
      </c>
      <c r="F93" s="61">
        <f t="shared" si="13"/>
        <v>16433.350599600006</v>
      </c>
      <c r="G93" s="60">
        <f t="shared" si="13"/>
        <v>17583.685141572008</v>
      </c>
    </row>
    <row r="94" spans="2:13" ht="15" outlineLevel="1" thickBot="1" x14ac:dyDescent="0.35">
      <c r="B94" s="44" t="s">
        <v>188</v>
      </c>
      <c r="C94" s="51">
        <f>C37</f>
        <v>1.2682585498119479E-2</v>
      </c>
      <c r="D94" s="53">
        <f t="shared" ref="D94:G94" si="14">C94</f>
        <v>1.2682585498119479E-2</v>
      </c>
      <c r="E94" s="51">
        <f t="shared" si="14"/>
        <v>1.2682585498119479E-2</v>
      </c>
      <c r="F94" s="53">
        <f t="shared" si="14"/>
        <v>1.2682585498119479E-2</v>
      </c>
      <c r="G94" s="51">
        <f t="shared" si="14"/>
        <v>1.2682585498119479E-2</v>
      </c>
    </row>
    <row r="95" spans="2:13" ht="15" outlineLevel="1" thickBot="1" x14ac:dyDescent="0.35">
      <c r="B95" s="41" t="s">
        <v>41</v>
      </c>
      <c r="C95" s="64">
        <f t="shared" ref="C95:G95" si="15">C93*C94</f>
        <v>160.95000000000002</v>
      </c>
      <c r="D95" s="1">
        <f t="shared" si="15"/>
        <v>177.04500000000004</v>
      </c>
      <c r="E95" s="64">
        <f t="shared" si="15"/>
        <v>192.97905000000006</v>
      </c>
      <c r="F95" s="1">
        <f t="shared" si="15"/>
        <v>208.41737400000008</v>
      </c>
      <c r="G95" s="64">
        <f t="shared" si="15"/>
        <v>223.00659018000013</v>
      </c>
    </row>
    <row r="96" spans="2:13" ht="15" outlineLevel="1" thickBot="1" x14ac:dyDescent="0.35">
      <c r="B96" s="44" t="s">
        <v>189</v>
      </c>
      <c r="C96" s="60">
        <f t="shared" ref="C96:G96" si="16">C93*AVERAGE($C$39:$G$39)</f>
        <v>312.95417565187773</v>
      </c>
      <c r="D96" s="61">
        <f t="shared" si="16"/>
        <v>344.24959321706552</v>
      </c>
      <c r="E96" s="60">
        <f t="shared" si="16"/>
        <v>375.23205660660147</v>
      </c>
      <c r="F96" s="61">
        <f t="shared" si="16"/>
        <v>405.25062113512962</v>
      </c>
      <c r="G96" s="60">
        <f t="shared" si="16"/>
        <v>433.61816461458875</v>
      </c>
    </row>
    <row r="97" spans="2:13" ht="15" outlineLevel="1" thickBot="1" x14ac:dyDescent="0.35">
      <c r="B97" s="44" t="s">
        <v>16</v>
      </c>
      <c r="C97" s="60">
        <f t="shared" ref="C97:G97" si="17">C95-C96</f>
        <v>-152.00417565187772</v>
      </c>
      <c r="D97" s="61">
        <f t="shared" si="17"/>
        <v>-167.20459321706548</v>
      </c>
      <c r="E97" s="60">
        <f t="shared" si="17"/>
        <v>-182.25300660660142</v>
      </c>
      <c r="F97" s="61">
        <f t="shared" si="17"/>
        <v>-196.83324713512954</v>
      </c>
      <c r="G97" s="60">
        <f t="shared" si="17"/>
        <v>-210.61157443458862</v>
      </c>
    </row>
    <row r="98" spans="2:13" ht="15" outlineLevel="1" thickBot="1" x14ac:dyDescent="0.35">
      <c r="B98" s="44" t="s">
        <v>195</v>
      </c>
      <c r="C98" s="60">
        <f t="shared" ref="C98" si="18">C42*(1+6%)</f>
        <v>1052.5800000000002</v>
      </c>
      <c r="D98" s="61">
        <f t="shared" ref="D98:G98" si="19">C98*(1+6%)</f>
        <v>1115.7348000000002</v>
      </c>
      <c r="E98" s="60">
        <f t="shared" si="19"/>
        <v>1182.6788880000001</v>
      </c>
      <c r="F98" s="61">
        <f t="shared" si="19"/>
        <v>1253.6396212800003</v>
      </c>
      <c r="G98" s="60">
        <f t="shared" si="19"/>
        <v>1328.8579985568003</v>
      </c>
    </row>
    <row r="99" spans="2:13" ht="15" outlineLevel="1" thickBot="1" x14ac:dyDescent="0.35">
      <c r="B99" s="44" t="s">
        <v>190</v>
      </c>
      <c r="C99" s="60">
        <f>C98*Tax_rate</f>
        <v>252.61920000000003</v>
      </c>
      <c r="D99" s="61">
        <f>D98*Tax_rate</f>
        <v>267.77635200000003</v>
      </c>
      <c r="E99" s="60">
        <f>E98*Tax_rate</f>
        <v>283.84293312</v>
      </c>
      <c r="F99" s="61">
        <f>F98*Tax_rate</f>
        <v>300.87350910720005</v>
      </c>
      <c r="G99" s="60">
        <f>G98*Tax_rate</f>
        <v>318.92591965363209</v>
      </c>
    </row>
    <row r="100" spans="2:13" ht="15" outlineLevel="1" thickBot="1" x14ac:dyDescent="0.35">
      <c r="B100" s="44" t="s">
        <v>191</v>
      </c>
      <c r="C100" s="60">
        <f t="shared" ref="C100:G100" si="20">C98-C99</f>
        <v>799.96080000000006</v>
      </c>
      <c r="D100" s="61">
        <f t="shared" si="20"/>
        <v>847.95844800000009</v>
      </c>
      <c r="E100" s="60">
        <f t="shared" si="20"/>
        <v>898.83595488000014</v>
      </c>
      <c r="F100" s="61">
        <f t="shared" si="20"/>
        <v>952.76611217280015</v>
      </c>
      <c r="G100" s="60">
        <f t="shared" si="20"/>
        <v>1009.9320789031683</v>
      </c>
    </row>
    <row r="101" spans="2:13" ht="15" outlineLevel="1" thickBot="1" x14ac:dyDescent="0.35">
      <c r="B101" s="44" t="s">
        <v>192</v>
      </c>
      <c r="C101" s="60">
        <f t="shared" ref="C101:G101" si="21">C100+C96</f>
        <v>1112.9149756518777</v>
      </c>
      <c r="D101" s="61">
        <f t="shared" si="21"/>
        <v>1192.2080412170656</v>
      </c>
      <c r="E101" s="60">
        <f t="shared" si="21"/>
        <v>1274.0680114866016</v>
      </c>
      <c r="F101" s="61">
        <f t="shared" si="21"/>
        <v>1358.0167333079298</v>
      </c>
      <c r="G101" s="60">
        <f t="shared" si="21"/>
        <v>1443.5502435177571</v>
      </c>
    </row>
    <row r="102" spans="2:13" ht="15" outlineLevel="1" thickBot="1" x14ac:dyDescent="0.35">
      <c r="B102" s="44" t="s">
        <v>193</v>
      </c>
      <c r="C102" s="60">
        <f t="shared" ref="C102:G102" si="22">C100*50%</f>
        <v>399.98040000000003</v>
      </c>
      <c r="D102" s="61">
        <f t="shared" si="22"/>
        <v>423.97922400000004</v>
      </c>
      <c r="E102" s="60">
        <f t="shared" si="22"/>
        <v>449.41797744000007</v>
      </c>
      <c r="F102" s="61">
        <f t="shared" si="22"/>
        <v>476.38305608640007</v>
      </c>
      <c r="G102" s="60">
        <f t="shared" si="22"/>
        <v>504.96603945158415</v>
      </c>
    </row>
    <row r="103" spans="2:13" ht="15" outlineLevel="1" thickBot="1" x14ac:dyDescent="0.35">
      <c r="B103" s="63" t="s">
        <v>194</v>
      </c>
      <c r="C103" s="60">
        <f t="shared" ref="C103:G103" si="23">C100+C101-C102</f>
        <v>1512.8953756518777</v>
      </c>
      <c r="D103" s="66">
        <f t="shared" si="23"/>
        <v>1616.1872652170655</v>
      </c>
      <c r="E103" s="67">
        <f t="shared" si="23"/>
        <v>1723.4859889266017</v>
      </c>
      <c r="F103" s="60">
        <f t="shared" si="23"/>
        <v>1834.3997893943299</v>
      </c>
      <c r="G103" s="68">
        <f t="shared" si="23"/>
        <v>1948.5162829693413</v>
      </c>
    </row>
    <row r="104" spans="2:13" outlineLevel="1" x14ac:dyDescent="0.3"/>
    <row r="105" spans="2:13" x14ac:dyDescent="0.3">
      <c r="B105" s="30"/>
      <c r="C105" s="30"/>
      <c r="D105" s="30"/>
      <c r="E105" s="30"/>
      <c r="F105" s="30"/>
      <c r="G105" s="30"/>
      <c r="H105" s="30"/>
      <c r="I105" s="30"/>
      <c r="J105" s="30"/>
      <c r="K105" s="30"/>
      <c r="L105" s="30"/>
      <c r="M105" s="30"/>
    </row>
    <row r="106" spans="2:13" ht="21" x14ac:dyDescent="0.4">
      <c r="B106" s="29" t="s">
        <v>253</v>
      </c>
    </row>
    <row r="107" spans="2:13" x14ac:dyDescent="0.3">
      <c r="B107" s="30"/>
      <c r="C107" s="30"/>
      <c r="D107" s="30"/>
      <c r="E107" s="30"/>
      <c r="F107" s="30"/>
      <c r="G107" s="30"/>
      <c r="H107" s="30"/>
      <c r="I107" s="30"/>
      <c r="J107" s="30"/>
      <c r="K107" s="30"/>
      <c r="L107" s="30"/>
      <c r="M107" s="30"/>
    </row>
    <row r="108" spans="2:13" ht="15.6" outlineLevel="1" x14ac:dyDescent="0.3">
      <c r="B108" s="70" t="s">
        <v>254</v>
      </c>
      <c r="C108" s="33"/>
    </row>
    <row r="109" spans="2:13" outlineLevel="1" x14ac:dyDescent="0.3">
      <c r="B109" s="71" t="s">
        <v>255</v>
      </c>
      <c r="C109" s="37">
        <f>'Comps '!F23</f>
        <v>0.24262501369581024</v>
      </c>
    </row>
    <row r="110" spans="2:13" outlineLevel="1" x14ac:dyDescent="0.3">
      <c r="B110" s="71" t="s">
        <v>256</v>
      </c>
      <c r="C110" s="37">
        <f>1-C109</f>
        <v>0.75737498630418976</v>
      </c>
    </row>
    <row r="111" spans="2:13" ht="15.6" outlineLevel="1" x14ac:dyDescent="0.3">
      <c r="B111" s="70" t="s">
        <v>257</v>
      </c>
      <c r="C111" s="33"/>
    </row>
    <row r="112" spans="2:13" outlineLevel="1" x14ac:dyDescent="0.3">
      <c r="B112" s="71" t="s">
        <v>258</v>
      </c>
      <c r="C112" s="1">
        <f>'Comps '!E7</f>
        <v>28980</v>
      </c>
    </row>
    <row r="113" spans="2:13" outlineLevel="1" x14ac:dyDescent="0.3">
      <c r="B113" s="71" t="s">
        <v>259</v>
      </c>
      <c r="C113" s="1">
        <f>'Comps '!J7</f>
        <v>974</v>
      </c>
    </row>
    <row r="114" spans="2:13" outlineLevel="1" x14ac:dyDescent="0.3">
      <c r="B114" s="71" t="s">
        <v>260</v>
      </c>
      <c r="C114" s="34">
        <f>C113/C112</f>
        <v>3.3609385783298827E-2</v>
      </c>
    </row>
    <row r="115" spans="2:13" ht="15.6" outlineLevel="1" x14ac:dyDescent="0.3">
      <c r="B115" s="70" t="s">
        <v>261</v>
      </c>
      <c r="C115" s="33"/>
    </row>
    <row r="116" spans="2:13" outlineLevel="1" x14ac:dyDescent="0.3">
      <c r="B116" s="71" t="s">
        <v>262</v>
      </c>
      <c r="C116" s="2">
        <f>Data!E251</f>
        <v>5.2468505841381137E-2</v>
      </c>
    </row>
    <row r="117" spans="2:13" outlineLevel="1" x14ac:dyDescent="0.3">
      <c r="B117" s="71" t="s">
        <v>153</v>
      </c>
      <c r="C117" s="34">
        <f>Tax_rate</f>
        <v>0.24</v>
      </c>
    </row>
    <row r="118" spans="2:13" outlineLevel="1" x14ac:dyDescent="0.3">
      <c r="B118" s="71" t="s">
        <v>263</v>
      </c>
      <c r="C118" s="94">
        <f>C116*(1-C117)</f>
        <v>3.9876064439449667E-2</v>
      </c>
    </row>
    <row r="119" spans="2:13" ht="15.6" outlineLevel="1" x14ac:dyDescent="0.3">
      <c r="B119" s="70" t="s">
        <v>264</v>
      </c>
      <c r="C119" s="33"/>
    </row>
    <row r="120" spans="2:13" outlineLevel="1" x14ac:dyDescent="0.3">
      <c r="B120" s="71" t="s">
        <v>265</v>
      </c>
      <c r="C120" s="2">
        <f>C19</f>
        <v>3.5000000000000003E-2</v>
      </c>
    </row>
    <row r="121" spans="2:13" outlineLevel="1" x14ac:dyDescent="0.3">
      <c r="B121" s="71" t="s">
        <v>266</v>
      </c>
      <c r="C121" s="2">
        <f>C20</f>
        <v>5.7799999999999997E-2</v>
      </c>
    </row>
    <row r="122" spans="2:13" outlineLevel="1" x14ac:dyDescent="0.3">
      <c r="B122" s="71" t="s">
        <v>267</v>
      </c>
      <c r="C122" s="82">
        <f>'Comps '!I23*(1+C114*(1-Tax_rate))</f>
        <v>0.24553950628642435</v>
      </c>
    </row>
    <row r="123" spans="2:13" outlineLevel="1" x14ac:dyDescent="0.3">
      <c r="B123" s="71" t="s">
        <v>264</v>
      </c>
      <c r="C123" s="94">
        <f>C120+C122*C121</f>
        <v>4.9192183463355327E-2</v>
      </c>
    </row>
    <row r="124" spans="2:13" ht="15.6" outlineLevel="1" x14ac:dyDescent="0.3">
      <c r="B124" s="70" t="s">
        <v>268</v>
      </c>
      <c r="C124" s="95">
        <f>(C123*C110)+(C118*C109)</f>
        <v>4.6931859957588418E-2</v>
      </c>
    </row>
    <row r="125" spans="2:13" outlineLevel="1" x14ac:dyDescent="0.3"/>
    <row r="126" spans="2:13" x14ac:dyDescent="0.3">
      <c r="B126" s="30"/>
      <c r="C126" s="30"/>
      <c r="D126" s="30"/>
      <c r="E126" s="30"/>
      <c r="F126" s="30"/>
      <c r="G126" s="30"/>
      <c r="H126" s="30"/>
      <c r="I126" s="30"/>
      <c r="J126" s="30"/>
      <c r="K126" s="30"/>
      <c r="L126" s="30"/>
      <c r="M126" s="30"/>
    </row>
    <row r="127" spans="2:13" ht="21" x14ac:dyDescent="0.4">
      <c r="B127" s="29" t="s">
        <v>306</v>
      </c>
    </row>
    <row r="128" spans="2:13" x14ac:dyDescent="0.3">
      <c r="B128" s="30"/>
      <c r="C128" s="30"/>
      <c r="D128" s="30"/>
      <c r="E128" s="30"/>
      <c r="F128" s="30"/>
      <c r="G128" s="30"/>
      <c r="H128" s="30"/>
      <c r="I128" s="30"/>
      <c r="J128" s="30"/>
      <c r="K128" s="30"/>
      <c r="L128" s="30"/>
      <c r="M128" s="30"/>
    </row>
    <row r="129" spans="2:13" ht="15" outlineLevel="1" thickBot="1" x14ac:dyDescent="0.35"/>
    <row r="130" spans="2:13" ht="15" outlineLevel="1" thickBot="1" x14ac:dyDescent="0.35">
      <c r="B130" s="46" t="s">
        <v>307</v>
      </c>
      <c r="C130" s="60">
        <f>G103</f>
        <v>1948.5162829693413</v>
      </c>
    </row>
    <row r="131" spans="2:13" ht="15" outlineLevel="1" thickBot="1" x14ac:dyDescent="0.35">
      <c r="B131" s="46" t="s">
        <v>308</v>
      </c>
      <c r="C131" s="51">
        <f>C18</f>
        <v>0.02</v>
      </c>
    </row>
    <row r="132" spans="2:13" ht="15" outlineLevel="1" thickBot="1" x14ac:dyDescent="0.35">
      <c r="B132" s="96" t="s">
        <v>309</v>
      </c>
      <c r="C132" s="96"/>
    </row>
    <row r="133" spans="2:13" ht="15" outlineLevel="1" thickBot="1" x14ac:dyDescent="0.35">
      <c r="B133" s="97" t="s">
        <v>312</v>
      </c>
      <c r="C133" s="99">
        <f>C130*(1+C131)/(C124-C131)</f>
        <v>73796.856650768634</v>
      </c>
    </row>
    <row r="134" spans="2:13" outlineLevel="1" x14ac:dyDescent="0.3"/>
    <row r="135" spans="2:13" x14ac:dyDescent="0.3">
      <c r="B135" s="30"/>
      <c r="C135" s="30"/>
      <c r="D135" s="30"/>
      <c r="E135" s="30"/>
      <c r="F135" s="30"/>
      <c r="G135" s="30"/>
      <c r="H135" s="30"/>
      <c r="I135" s="30"/>
      <c r="J135" s="30"/>
      <c r="K135" s="30"/>
      <c r="L135" s="30"/>
      <c r="M135" s="30"/>
    </row>
    <row r="136" spans="2:13" ht="21" x14ac:dyDescent="0.4">
      <c r="B136" s="29" t="s">
        <v>313</v>
      </c>
    </row>
    <row r="137" spans="2:13" x14ac:dyDescent="0.3">
      <c r="B137" s="30"/>
      <c r="C137" s="30"/>
      <c r="D137" s="30"/>
      <c r="E137" s="30"/>
      <c r="F137" s="30"/>
      <c r="G137" s="30"/>
      <c r="H137" s="30"/>
      <c r="I137" s="30"/>
      <c r="J137" s="30"/>
      <c r="K137" s="30"/>
      <c r="L137" s="30"/>
      <c r="M137" s="30"/>
    </row>
    <row r="138" spans="2:13" ht="15" outlineLevel="1" thickBot="1" x14ac:dyDescent="0.35"/>
    <row r="139" spans="2:13" ht="15" outlineLevel="1" thickBot="1" x14ac:dyDescent="0.35">
      <c r="B139" s="100" t="s">
        <v>175</v>
      </c>
      <c r="C139" s="100" t="s">
        <v>314</v>
      </c>
      <c r="D139" s="85" t="s">
        <v>315</v>
      </c>
      <c r="E139" s="100" t="s">
        <v>316</v>
      </c>
      <c r="F139" s="100" t="s">
        <v>317</v>
      </c>
      <c r="G139" s="87" t="s">
        <v>318</v>
      </c>
      <c r="H139" s="87" t="s">
        <v>310</v>
      </c>
    </row>
    <row r="140" spans="2:13" outlineLevel="1" x14ac:dyDescent="0.3">
      <c r="B140" t="s">
        <v>321</v>
      </c>
      <c r="C140" s="1">
        <f t="shared" ref="C140:G140" si="24">C103</f>
        <v>1512.8953756518777</v>
      </c>
      <c r="D140" s="1">
        <f t="shared" si="24"/>
        <v>1616.1872652170655</v>
      </c>
      <c r="E140" s="1">
        <f t="shared" si="24"/>
        <v>1723.4859889266017</v>
      </c>
      <c r="F140" s="1">
        <f t="shared" si="24"/>
        <v>1834.3997893943299</v>
      </c>
      <c r="G140" s="1">
        <f t="shared" si="24"/>
        <v>1948.5162829693413</v>
      </c>
      <c r="H140" s="101">
        <f>C133</f>
        <v>73796.856650768634</v>
      </c>
    </row>
    <row r="141" spans="2:13" outlineLevel="1" x14ac:dyDescent="0.3">
      <c r="B141" t="s">
        <v>319</v>
      </c>
      <c r="C141" s="80">
        <f>1/(1+$C$124)^1</f>
        <v>0.95517200139511493</v>
      </c>
      <c r="D141" s="80">
        <f>1/(1+$C$124)^2</f>
        <v>0.91235355224914949</v>
      </c>
      <c r="E141" s="80">
        <f>1/(1+$C$124)^3</f>
        <v>0.87145456848176261</v>
      </c>
      <c r="F141" s="80">
        <f>1/(1+$C$124)^4</f>
        <v>0.83238900430164153</v>
      </c>
      <c r="G141" s="80">
        <f>1/(1+$C$124)^5</f>
        <v>0.79507467117808583</v>
      </c>
      <c r="H141" s="80">
        <f>G141</f>
        <v>0.79507467117808583</v>
      </c>
    </row>
    <row r="142" spans="2:13" outlineLevel="1" x14ac:dyDescent="0.3">
      <c r="B142" t="s">
        <v>320</v>
      </c>
      <c r="C142" s="103">
        <f t="shared" ref="C142:H142" si="25">C140*C141</f>
        <v>1445.0753038628181</v>
      </c>
      <c r="D142" s="103">
        <f t="shared" si="25"/>
        <v>1474.534192520628</v>
      </c>
      <c r="E142" s="103">
        <f t="shared" si="25"/>
        <v>1501.9397387643955</v>
      </c>
      <c r="F142" s="103">
        <f t="shared" si="25"/>
        <v>1526.9342141850873</v>
      </c>
      <c r="G142" s="103">
        <f t="shared" si="25"/>
        <v>1549.215942966995</v>
      </c>
      <c r="H142" s="102">
        <f t="shared" si="25"/>
        <v>58674.011535586207</v>
      </c>
    </row>
    <row r="143" spans="2:13" outlineLevel="1" x14ac:dyDescent="0.3"/>
    <row r="144" spans="2:13" x14ac:dyDescent="0.3">
      <c r="B144" s="30"/>
      <c r="C144" s="30"/>
      <c r="D144" s="30"/>
      <c r="E144" s="30"/>
      <c r="F144" s="30"/>
      <c r="G144" s="30"/>
      <c r="H144" s="30"/>
      <c r="I144" s="30"/>
      <c r="J144" s="30"/>
      <c r="K144" s="30"/>
      <c r="L144" s="30"/>
      <c r="M144" s="30"/>
    </row>
    <row r="145" spans="2:13" ht="21" x14ac:dyDescent="0.4">
      <c r="B145" s="29" t="s">
        <v>322</v>
      </c>
    </row>
    <row r="146" spans="2:13" x14ac:dyDescent="0.3">
      <c r="B146" s="30"/>
      <c r="C146" s="30"/>
      <c r="D146" s="30"/>
      <c r="E146" s="30"/>
      <c r="F146" s="30"/>
      <c r="G146" s="30"/>
      <c r="H146" s="30"/>
      <c r="I146" s="30"/>
      <c r="J146" s="30"/>
      <c r="K146" s="30"/>
      <c r="L146" s="30"/>
      <c r="M146" s="30"/>
    </row>
    <row r="147" spans="2:13" outlineLevel="1" x14ac:dyDescent="0.3"/>
    <row r="148" spans="2:13" ht="16.8" outlineLevel="1" x14ac:dyDescent="0.3">
      <c r="B148" s="104" t="s">
        <v>323</v>
      </c>
    </row>
    <row r="149" spans="2:13" outlineLevel="1" x14ac:dyDescent="0.3">
      <c r="B149" s="105"/>
    </row>
    <row r="150" spans="2:13" ht="20.399999999999999" outlineLevel="1" x14ac:dyDescent="0.3">
      <c r="B150" s="106">
        <f>SUM(C142:G142)</f>
        <v>7497.6993922999245</v>
      </c>
    </row>
    <row r="151" spans="2:13" ht="17.399999999999999" outlineLevel="1" x14ac:dyDescent="0.3">
      <c r="B151" s="107"/>
    </row>
    <row r="152" spans="2:13" outlineLevel="1" x14ac:dyDescent="0.3">
      <c r="B152" s="108"/>
    </row>
    <row r="153" spans="2:13" ht="16.8" outlineLevel="1" x14ac:dyDescent="0.3">
      <c r="B153" s="104" t="s">
        <v>324</v>
      </c>
    </row>
    <row r="154" spans="2:13" outlineLevel="1" x14ac:dyDescent="0.3">
      <c r="B154" s="105"/>
    </row>
    <row r="155" spans="2:13" ht="20.399999999999999" outlineLevel="1" x14ac:dyDescent="0.3">
      <c r="B155" s="106">
        <f>H142</f>
        <v>58674.011535586207</v>
      </c>
    </row>
    <row r="156" spans="2:13" ht="17.399999999999999" outlineLevel="1" x14ac:dyDescent="0.3">
      <c r="B156" s="107"/>
    </row>
    <row r="157" spans="2:13" outlineLevel="1" x14ac:dyDescent="0.3">
      <c r="B157" s="108"/>
    </row>
    <row r="158" spans="2:13" ht="16.8" outlineLevel="1" x14ac:dyDescent="0.3">
      <c r="B158" s="104" t="s">
        <v>325</v>
      </c>
    </row>
    <row r="159" spans="2:13" outlineLevel="1" x14ac:dyDescent="0.3">
      <c r="B159" s="105"/>
    </row>
    <row r="160" spans="2:13" ht="24" outlineLevel="1" x14ac:dyDescent="0.3">
      <c r="B160" s="109">
        <f>B150+B155</f>
        <v>66171.710927886132</v>
      </c>
    </row>
    <row r="161" spans="2:13" outlineLevel="1" x14ac:dyDescent="0.3">
      <c r="B161" s="110"/>
    </row>
    <row r="162" spans="2:13" outlineLevel="1" x14ac:dyDescent="0.3">
      <c r="B162" s="111" t="s">
        <v>325</v>
      </c>
      <c r="C162" s="1">
        <f>B160</f>
        <v>66171.710927886132</v>
      </c>
    </row>
    <row r="163" spans="2:13" outlineLevel="1" x14ac:dyDescent="0.3">
      <c r="B163" s="111" t="s">
        <v>326</v>
      </c>
      <c r="C163" s="1">
        <f>C113</f>
        <v>974</v>
      </c>
    </row>
    <row r="164" spans="2:13" outlineLevel="1" x14ac:dyDescent="0.3">
      <c r="B164" s="111" t="s">
        <v>327</v>
      </c>
      <c r="C164">
        <f>'Comps '!K7</f>
        <v>897</v>
      </c>
    </row>
    <row r="165" spans="2:13" outlineLevel="1" x14ac:dyDescent="0.3">
      <c r="B165" s="124" t="s">
        <v>328</v>
      </c>
      <c r="C165" s="125">
        <f>C162-C163+C164</f>
        <v>66094.710927886132</v>
      </c>
    </row>
    <row r="166" spans="2:13" outlineLevel="1" x14ac:dyDescent="0.3">
      <c r="B166" s="111" t="s">
        <v>329</v>
      </c>
      <c r="C166" s="1">
        <f>Data!B135</f>
        <v>8400</v>
      </c>
    </row>
    <row r="167" spans="2:13" ht="18" outlineLevel="1" x14ac:dyDescent="0.35">
      <c r="B167" s="122" t="s">
        <v>330</v>
      </c>
      <c r="C167" s="123">
        <f>C165/C166</f>
        <v>7.8684179676054917</v>
      </c>
    </row>
    <row r="168" spans="2:13" outlineLevel="1" x14ac:dyDescent="0.3">
      <c r="B168" s="111" t="s">
        <v>331</v>
      </c>
      <c r="C168" s="80">
        <f>'Comps '!D7</f>
        <v>3.5</v>
      </c>
    </row>
    <row r="169" spans="2:13" outlineLevel="1" x14ac:dyDescent="0.3">
      <c r="B169" s="111" t="s">
        <v>332</v>
      </c>
      <c r="C169" s="112">
        <f>(C167-C168)/C168</f>
        <v>1.2481194193158547</v>
      </c>
    </row>
    <row r="170" spans="2:13" outlineLevel="1" x14ac:dyDescent="0.3"/>
    <row r="171" spans="2:13" x14ac:dyDescent="0.3">
      <c r="B171" s="30"/>
      <c r="C171" s="30"/>
      <c r="D171" s="30"/>
      <c r="E171" s="30"/>
      <c r="F171" s="30"/>
      <c r="G171" s="30"/>
      <c r="H171" s="30"/>
      <c r="I171" s="30"/>
      <c r="J171" s="30"/>
      <c r="K171" s="30"/>
      <c r="L171" s="30"/>
      <c r="M171" s="30"/>
    </row>
    <row r="172" spans="2:13" ht="21" x14ac:dyDescent="0.4">
      <c r="B172" s="29" t="s">
        <v>333</v>
      </c>
    </row>
    <row r="173" spans="2:13" ht="15" thickBot="1" x14ac:dyDescent="0.35">
      <c r="B173" s="30"/>
      <c r="C173" s="30"/>
      <c r="D173" s="30"/>
      <c r="E173" s="30"/>
      <c r="F173" s="30"/>
      <c r="G173" s="30"/>
      <c r="H173" s="30"/>
      <c r="I173" s="30"/>
      <c r="J173" s="30"/>
      <c r="K173" s="30"/>
      <c r="L173" s="30"/>
      <c r="M173" s="30"/>
    </row>
    <row r="174" spans="2:13" ht="15" outlineLevel="1" thickBot="1" x14ac:dyDescent="0.35">
      <c r="B174" s="74" t="s">
        <v>334</v>
      </c>
    </row>
    <row r="175" spans="2:13" ht="15" outlineLevel="1" thickBot="1" x14ac:dyDescent="0.35">
      <c r="B175" s="121">
        <f>C167</f>
        <v>7.8684179676054917</v>
      </c>
      <c r="C175" s="117">
        <f t="shared" ref="C175:E175" si="26">D175-0.5%</f>
        <v>3.1931859957588425E-2</v>
      </c>
      <c r="D175" s="117">
        <f t="shared" si="26"/>
        <v>3.6931859957588423E-2</v>
      </c>
      <c r="E175" s="118">
        <f t="shared" si="26"/>
        <v>4.193185995758842E-2</v>
      </c>
      <c r="F175" s="117">
        <v>4.6931859957588418E-2</v>
      </c>
      <c r="G175" s="119">
        <f t="shared" ref="G175:H175" si="27">F175+0.5%</f>
        <v>5.1931859957588415E-2</v>
      </c>
      <c r="H175" s="120">
        <f t="shared" si="27"/>
        <v>5.6931859957588413E-2</v>
      </c>
    </row>
    <row r="176" spans="2:13" ht="15" outlineLevel="1" thickBot="1" x14ac:dyDescent="0.35">
      <c r="B176" s="114">
        <f t="shared" ref="B176:B177" si="28">B177-1%</f>
        <v>0</v>
      </c>
      <c r="C176" s="126">
        <f t="dataTable" ref="C176:H180" dt2D="1" dtr="1" r1="C124" r2="C18" ca="1"/>
        <v>7.1314803830521001</v>
      </c>
      <c r="D176" s="126">
        <v>6.1491718264342996</v>
      </c>
      <c r="E176" s="127">
        <v>5.4013881317217773</v>
      </c>
      <c r="F176" s="126">
        <v>4.8131664394692493</v>
      </c>
      <c r="G176" s="127">
        <v>4.3384137488176275</v>
      </c>
      <c r="H176" s="126">
        <v>3.9472295386693483</v>
      </c>
    </row>
    <row r="177" spans="2:13" ht="15" outlineLevel="1" thickBot="1" x14ac:dyDescent="0.35">
      <c r="B177" s="115">
        <f t="shared" si="28"/>
        <v>0.01</v>
      </c>
      <c r="C177" s="128">
        <v>5.6037302639261792</v>
      </c>
      <c r="D177" s="128">
        <v>4.9915813817865393</v>
      </c>
      <c r="E177" s="80">
        <v>4.4975524605888486</v>
      </c>
      <c r="F177" s="128">
        <v>4.0905165352480388</v>
      </c>
      <c r="G177" s="80">
        <v>3.7493987991819173</v>
      </c>
      <c r="H177" s="128">
        <v>3.4594219753481297</v>
      </c>
    </row>
    <row r="178" spans="2:13" ht="15" outlineLevel="1" thickBot="1" x14ac:dyDescent="0.35">
      <c r="B178" s="116">
        <f>C131</f>
        <v>0.02</v>
      </c>
      <c r="C178" s="126">
        <v>5.6037302639261792</v>
      </c>
      <c r="D178" s="126">
        <v>4.9915813817865393</v>
      </c>
      <c r="E178" s="127">
        <v>4.4975524605888486</v>
      </c>
      <c r="F178" s="98">
        <v>4.0905165352480388</v>
      </c>
      <c r="G178" s="127">
        <v>3.7493987991819173</v>
      </c>
      <c r="H178" s="126">
        <v>3.4594219753481297</v>
      </c>
    </row>
    <row r="179" spans="2:13" ht="15" outlineLevel="1" thickBot="1" x14ac:dyDescent="0.35">
      <c r="B179" s="113">
        <f t="shared" ref="B179:B180" si="29">B178+1%</f>
        <v>0.03</v>
      </c>
      <c r="C179" s="128">
        <v>7.1314803830521001</v>
      </c>
      <c r="D179" s="128">
        <v>6.1491718264342996</v>
      </c>
      <c r="E179" s="80">
        <v>5.4013881317217773</v>
      </c>
      <c r="F179" s="128">
        <v>4.8131664394692493</v>
      </c>
      <c r="G179" s="80">
        <v>4.3384137488176275</v>
      </c>
      <c r="H179" s="128">
        <v>3.9472295386693483</v>
      </c>
    </row>
    <row r="180" spans="2:13" ht="15" outlineLevel="1" thickBot="1" x14ac:dyDescent="0.35">
      <c r="B180" s="114">
        <f t="shared" si="29"/>
        <v>0.04</v>
      </c>
      <c r="C180" s="126">
        <v>17.869354322753402</v>
      </c>
      <c r="D180" s="126">
        <v>12.566408063036031</v>
      </c>
      <c r="E180" s="127">
        <v>9.6817243721241955</v>
      </c>
      <c r="F180" s="126">
        <v>7.8684179676054917</v>
      </c>
      <c r="G180" s="127">
        <v>6.6232033866411406</v>
      </c>
      <c r="H180" s="126">
        <v>5.7153434409728083</v>
      </c>
    </row>
    <row r="181" spans="2:13" outlineLevel="1" x14ac:dyDescent="0.3"/>
    <row r="182" spans="2:13" x14ac:dyDescent="0.3">
      <c r="B182" s="30"/>
      <c r="C182" s="30"/>
      <c r="D182" s="30"/>
      <c r="E182" s="30"/>
      <c r="F182" s="30"/>
      <c r="G182" s="30"/>
      <c r="H182" s="30"/>
      <c r="I182" s="30"/>
      <c r="J182" s="30"/>
      <c r="K182" s="30"/>
      <c r="L182" s="30"/>
      <c r="M182" s="30"/>
    </row>
    <row r="183" spans="2:13" ht="21" x14ac:dyDescent="0.4">
      <c r="B183" s="29" t="s">
        <v>335</v>
      </c>
    </row>
    <row r="184" spans="2:13" x14ac:dyDescent="0.3">
      <c r="B184" s="30"/>
      <c r="C184" s="30"/>
      <c r="D184" s="30"/>
      <c r="E184" s="30"/>
      <c r="F184" s="30"/>
      <c r="G184" s="30"/>
      <c r="H184" s="30"/>
      <c r="I184" s="30"/>
      <c r="J184" s="30"/>
      <c r="K184" s="30"/>
      <c r="L184" s="30"/>
      <c r="M184" s="30"/>
    </row>
    <row r="185" spans="2:13" outlineLevel="1" x14ac:dyDescent="0.3"/>
    <row r="186" spans="2:13" outlineLevel="1" x14ac:dyDescent="0.3">
      <c r="B186" s="129" t="s">
        <v>336</v>
      </c>
    </row>
    <row r="187" spans="2:13" outlineLevel="1" x14ac:dyDescent="0.3">
      <c r="B187" t="s">
        <v>337</v>
      </c>
    </row>
    <row r="188" spans="2:13" outlineLevel="1" x14ac:dyDescent="0.3">
      <c r="B188" t="s">
        <v>338</v>
      </c>
    </row>
    <row r="189" spans="2:13" outlineLevel="1" x14ac:dyDescent="0.3">
      <c r="B189" s="7" t="s">
        <v>339</v>
      </c>
    </row>
    <row r="190" spans="2:13" outlineLevel="1" x14ac:dyDescent="0.3"/>
    <row r="191" spans="2:13" outlineLevel="1" x14ac:dyDescent="0.3">
      <c r="B191" s="129" t="s">
        <v>340</v>
      </c>
    </row>
    <row r="192" spans="2:13" outlineLevel="1" x14ac:dyDescent="0.3">
      <c r="B192" t="s">
        <v>341</v>
      </c>
    </row>
    <row r="193" spans="2:13" outlineLevel="1" x14ac:dyDescent="0.3">
      <c r="B193" t="s">
        <v>342</v>
      </c>
    </row>
    <row r="194" spans="2:13" outlineLevel="1" x14ac:dyDescent="0.3">
      <c r="B194" s="7" t="s">
        <v>343</v>
      </c>
    </row>
    <row r="195" spans="2:13" outlineLevel="1" x14ac:dyDescent="0.3"/>
    <row r="196" spans="2:13" x14ac:dyDescent="0.3">
      <c r="B196" s="30"/>
      <c r="C196" s="30"/>
      <c r="D196" s="30"/>
      <c r="E196" s="30"/>
      <c r="F196" s="30"/>
      <c r="G196" s="30"/>
      <c r="H196" s="30"/>
      <c r="I196" s="30"/>
      <c r="J196" s="30"/>
      <c r="K196" s="30"/>
      <c r="L196" s="30"/>
      <c r="M196" s="30"/>
    </row>
    <row r="197" spans="2:13" ht="21" x14ac:dyDescent="0.4">
      <c r="B197" s="29" t="s">
        <v>344</v>
      </c>
    </row>
    <row r="198" spans="2:13" x14ac:dyDescent="0.3">
      <c r="B198" s="30"/>
      <c r="C198" s="30"/>
      <c r="D198" s="30"/>
      <c r="E198" s="30"/>
      <c r="F198" s="30"/>
      <c r="G198" s="30"/>
      <c r="H198" s="30"/>
      <c r="I198" s="30"/>
      <c r="J198" s="30"/>
      <c r="K198" s="30"/>
      <c r="L198" s="30"/>
      <c r="M198" s="30"/>
    </row>
    <row r="200" spans="2:13" x14ac:dyDescent="0.3">
      <c r="B200" s="130" t="s">
        <v>345</v>
      </c>
      <c r="C200" s="130"/>
      <c r="D200" s="130"/>
      <c r="E200" s="130"/>
      <c r="F200" s="130"/>
      <c r="G200" s="130"/>
      <c r="H200" s="130"/>
      <c r="I200" s="130"/>
      <c r="J200" s="130"/>
      <c r="K200" s="130"/>
      <c r="L200" s="130"/>
      <c r="M200" s="130"/>
    </row>
    <row r="201" spans="2:13" x14ac:dyDescent="0.3">
      <c r="B201" s="130"/>
      <c r="C201" s="130"/>
      <c r="D201" s="130"/>
      <c r="E201" s="130"/>
      <c r="F201" s="130"/>
      <c r="G201" s="130"/>
      <c r="H201" s="130"/>
      <c r="I201" s="130"/>
      <c r="J201" s="130"/>
      <c r="K201" s="130"/>
      <c r="L201" s="130"/>
      <c r="M201" s="130"/>
    </row>
    <row r="202" spans="2:13" x14ac:dyDescent="0.3">
      <c r="B202" s="131"/>
      <c r="C202" s="131"/>
      <c r="D202" s="131"/>
      <c r="E202" s="131"/>
      <c r="F202" s="131"/>
      <c r="G202" s="131"/>
      <c r="H202" s="131"/>
      <c r="I202" s="131"/>
      <c r="J202" s="131"/>
      <c r="K202" s="131"/>
      <c r="L202" s="131"/>
      <c r="M202" s="131"/>
    </row>
    <row r="203" spans="2:13" x14ac:dyDescent="0.3">
      <c r="B203" s="132" t="s">
        <v>348</v>
      </c>
      <c r="C203" s="131"/>
      <c r="D203" s="131"/>
      <c r="E203" s="131"/>
      <c r="F203" s="131"/>
      <c r="G203" s="131"/>
      <c r="H203" s="131"/>
      <c r="I203" s="131"/>
      <c r="J203" s="131"/>
      <c r="K203" s="131"/>
      <c r="L203" s="131"/>
      <c r="M203" s="131"/>
    </row>
    <row r="204" spans="2:13" x14ac:dyDescent="0.3">
      <c r="B204" s="133" t="s">
        <v>349</v>
      </c>
      <c r="C204" s="131"/>
      <c r="D204" s="131"/>
      <c r="E204" s="131"/>
      <c r="F204" s="131"/>
      <c r="G204" s="131"/>
      <c r="H204" s="131"/>
      <c r="I204" s="131"/>
      <c r="J204" s="131"/>
      <c r="K204" s="131"/>
      <c r="L204" s="131"/>
      <c r="M204" s="131"/>
    </row>
    <row r="205" spans="2:13" x14ac:dyDescent="0.3">
      <c r="B205" s="134" t="s">
        <v>350</v>
      </c>
      <c r="C205" s="131"/>
      <c r="D205" s="131"/>
      <c r="E205" s="131"/>
      <c r="F205" s="131"/>
      <c r="G205" s="131"/>
      <c r="H205" s="131"/>
      <c r="I205" s="131"/>
      <c r="J205" s="131"/>
      <c r="K205" s="131"/>
      <c r="L205" s="131"/>
      <c r="M205" s="131"/>
    </row>
    <row r="206" spans="2:13" x14ac:dyDescent="0.3">
      <c r="B206" s="134" t="s">
        <v>351</v>
      </c>
    </row>
    <row r="207" spans="2:13" x14ac:dyDescent="0.3">
      <c r="B207" s="131"/>
    </row>
    <row r="208" spans="2:13" x14ac:dyDescent="0.3">
      <c r="B208" t="s">
        <v>346</v>
      </c>
    </row>
    <row r="209" spans="2:2" x14ac:dyDescent="0.3">
      <c r="B209" t="s">
        <v>347</v>
      </c>
    </row>
  </sheetData>
  <mergeCells count="1">
    <mergeCell ref="B200:M201"/>
  </mergeCells>
  <dataValidations disablePrompts="1" count="1">
    <dataValidation type="list" allowBlank="1" showInputMessage="1" showErrorMessage="1" sqref="C84" xr:uid="{4C609847-AF79-4484-91CA-83A79E3CE7AE}">
      <formula1>$B$85:$B$87</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67F0-EACC-4221-A0D7-37789F56B68F}">
  <dimension ref="B1:M23"/>
  <sheetViews>
    <sheetView showGridLines="0" zoomScale="79" workbookViewId="0">
      <selection activeCell="H20" sqref="H20"/>
    </sheetView>
  </sheetViews>
  <sheetFormatPr defaultRowHeight="14.4" x14ac:dyDescent="0.3"/>
  <cols>
    <col min="1" max="1" width="2.33203125" customWidth="1"/>
    <col min="2" max="2" width="32.44140625" bestFit="1" customWidth="1"/>
    <col min="5" max="5" width="10.77734375" bestFit="1" customWidth="1"/>
    <col min="8" max="8" width="10.77734375" bestFit="1" customWidth="1"/>
    <col min="9" max="10" width="9.6640625" bestFit="1" customWidth="1"/>
    <col min="11" max="11" width="21.77734375" bestFit="1" customWidth="1"/>
    <col min="12" max="12" width="10.21875" bestFit="1" customWidth="1"/>
  </cols>
  <sheetData>
    <row r="1" spans="2:13" ht="28.8" x14ac:dyDescent="0.55000000000000004">
      <c r="B1" s="28"/>
    </row>
    <row r="2" spans="2:13" x14ac:dyDescent="0.3">
      <c r="B2" s="30"/>
      <c r="C2" s="30"/>
      <c r="D2" s="30"/>
      <c r="E2" s="30"/>
      <c r="F2" s="30"/>
      <c r="G2" s="30"/>
      <c r="H2" s="30"/>
      <c r="I2" s="30"/>
      <c r="J2" s="30"/>
      <c r="K2" s="30"/>
      <c r="L2" s="30"/>
      <c r="M2" s="30"/>
    </row>
    <row r="3" spans="2:13" x14ac:dyDescent="0.3">
      <c r="B3" s="30"/>
      <c r="C3" s="30"/>
      <c r="D3" s="30"/>
      <c r="E3" s="30"/>
      <c r="F3" s="30"/>
      <c r="G3" s="30"/>
      <c r="H3" s="30"/>
      <c r="I3" s="30"/>
      <c r="J3" s="30"/>
      <c r="K3" s="30"/>
      <c r="L3" s="30"/>
      <c r="M3" s="30"/>
    </row>
    <row r="4" spans="2:13" ht="21" x14ac:dyDescent="0.4">
      <c r="B4" s="29" t="s">
        <v>281</v>
      </c>
    </row>
    <row r="5" spans="2:13" x14ac:dyDescent="0.3">
      <c r="B5" s="30"/>
      <c r="C5" s="30"/>
      <c r="D5" s="30"/>
      <c r="E5" s="30"/>
      <c r="F5" s="30"/>
      <c r="G5" s="30"/>
      <c r="H5" s="30"/>
      <c r="I5" s="30"/>
      <c r="J5" s="30"/>
      <c r="K5" s="30"/>
      <c r="L5" s="30"/>
      <c r="M5" s="30"/>
    </row>
    <row r="6" spans="2:13" s="72" customFormat="1" x14ac:dyDescent="0.3">
      <c r="B6" s="69" t="s">
        <v>269</v>
      </c>
      <c r="C6" s="69" t="s">
        <v>270</v>
      </c>
      <c r="D6" s="69" t="s">
        <v>271</v>
      </c>
      <c r="E6" s="69" t="s">
        <v>258</v>
      </c>
      <c r="F6" s="69" t="s">
        <v>157</v>
      </c>
      <c r="G6" s="69" t="s">
        <v>41</v>
      </c>
      <c r="H6" s="69" t="s">
        <v>30</v>
      </c>
      <c r="I6" s="69" t="s">
        <v>272</v>
      </c>
      <c r="J6" s="69" t="s">
        <v>259</v>
      </c>
      <c r="K6" s="69" t="s">
        <v>273</v>
      </c>
      <c r="L6" s="69" t="s">
        <v>274</v>
      </c>
      <c r="M6" s="69" t="s">
        <v>275</v>
      </c>
    </row>
    <row r="7" spans="2:13" x14ac:dyDescent="0.3">
      <c r="B7" t="s">
        <v>276</v>
      </c>
      <c r="C7" t="s">
        <v>277</v>
      </c>
      <c r="D7" s="81">
        <v>3.5</v>
      </c>
      <c r="E7" s="1">
        <v>28980</v>
      </c>
      <c r="F7" s="1">
        <v>11433</v>
      </c>
      <c r="G7">
        <v>888</v>
      </c>
      <c r="H7">
        <v>614</v>
      </c>
      <c r="I7">
        <v>1.22</v>
      </c>
      <c r="J7" s="1">
        <v>974</v>
      </c>
      <c r="K7">
        <v>897</v>
      </c>
      <c r="L7">
        <v>199.99</v>
      </c>
      <c r="M7">
        <v>43.88</v>
      </c>
    </row>
    <row r="8" spans="2:13" x14ac:dyDescent="0.3">
      <c r="B8" t="s">
        <v>278</v>
      </c>
      <c r="C8" t="s">
        <v>279</v>
      </c>
      <c r="D8" s="81">
        <v>1.57</v>
      </c>
      <c r="E8" s="1">
        <v>9090</v>
      </c>
      <c r="F8" s="1">
        <v>2790</v>
      </c>
      <c r="G8">
        <v>442</v>
      </c>
      <c r="H8">
        <v>231</v>
      </c>
      <c r="I8">
        <v>0.06</v>
      </c>
      <c r="J8" s="1">
        <v>446</v>
      </c>
      <c r="K8">
        <v>248</v>
      </c>
      <c r="L8">
        <v>21.02</v>
      </c>
      <c r="M8">
        <v>39.21</v>
      </c>
    </row>
    <row r="9" spans="2:13" x14ac:dyDescent="0.3">
      <c r="B9" t="s">
        <v>280</v>
      </c>
      <c r="C9" t="s">
        <v>282</v>
      </c>
      <c r="D9" s="81">
        <v>1.17</v>
      </c>
      <c r="E9" s="1">
        <v>1680</v>
      </c>
      <c r="F9" s="1">
        <v>4290</v>
      </c>
      <c r="G9">
        <v>741</v>
      </c>
      <c r="H9">
        <v>113</v>
      </c>
      <c r="I9">
        <v>0.88</v>
      </c>
      <c r="J9" s="1">
        <v>2410</v>
      </c>
      <c r="K9">
        <v>354</v>
      </c>
      <c r="L9">
        <v>4.83</v>
      </c>
      <c r="M9">
        <v>14.75</v>
      </c>
    </row>
    <row r="10" spans="2:13" x14ac:dyDescent="0.3">
      <c r="B10" t="s">
        <v>283</v>
      </c>
      <c r="C10" t="s">
        <v>285</v>
      </c>
      <c r="D10" s="81">
        <v>1.99</v>
      </c>
      <c r="E10" s="1">
        <v>2120</v>
      </c>
      <c r="F10" s="1">
        <v>3180</v>
      </c>
      <c r="G10">
        <v>158</v>
      </c>
      <c r="H10">
        <v>32</v>
      </c>
      <c r="I10">
        <v>-0.06</v>
      </c>
      <c r="J10" s="1">
        <v>1370</v>
      </c>
      <c r="K10">
        <v>105</v>
      </c>
      <c r="L10">
        <v>21.89</v>
      </c>
      <c r="M10">
        <v>68.75</v>
      </c>
    </row>
    <row r="11" spans="2:13" x14ac:dyDescent="0.3">
      <c r="B11" t="s">
        <v>284</v>
      </c>
      <c r="C11" t="s">
        <v>286</v>
      </c>
      <c r="D11" s="81">
        <v>1.22</v>
      </c>
      <c r="E11" s="1">
        <v>783</v>
      </c>
      <c r="F11" s="1">
        <v>1050</v>
      </c>
      <c r="G11">
        <v>221</v>
      </c>
      <c r="H11">
        <v>67</v>
      </c>
      <c r="I11">
        <v>0.55000000000000004</v>
      </c>
      <c r="J11" s="1">
        <v>80</v>
      </c>
      <c r="K11">
        <v>235</v>
      </c>
      <c r="L11">
        <v>2.93</v>
      </c>
      <c r="M11">
        <v>11.03</v>
      </c>
    </row>
    <row r="12" spans="2:13" x14ac:dyDescent="0.3">
      <c r="D12" s="81"/>
    </row>
    <row r="13" spans="2:13" x14ac:dyDescent="0.3">
      <c r="B13" s="30"/>
      <c r="C13" s="30"/>
      <c r="D13" s="30"/>
      <c r="E13" s="30"/>
      <c r="F13" s="30"/>
      <c r="G13" s="30"/>
      <c r="H13" s="30"/>
      <c r="I13" s="30"/>
      <c r="J13" s="30"/>
      <c r="K13" s="30"/>
      <c r="L13" s="30"/>
      <c r="M13" s="30"/>
    </row>
    <row r="14" spans="2:13" ht="21" x14ac:dyDescent="0.4">
      <c r="B14" s="29" t="s">
        <v>287</v>
      </c>
    </row>
    <row r="15" spans="2:13" x14ac:dyDescent="0.3">
      <c r="B15" s="30"/>
      <c r="C15" s="30"/>
      <c r="D15" s="30"/>
      <c r="E15" s="30"/>
      <c r="F15" s="30"/>
      <c r="G15" s="30"/>
      <c r="H15" s="30"/>
      <c r="I15" s="30"/>
      <c r="J15" s="30"/>
      <c r="K15" s="30"/>
      <c r="L15" s="30"/>
      <c r="M15" s="30"/>
    </row>
    <row r="16" spans="2:13" x14ac:dyDescent="0.3">
      <c r="B16" s="69"/>
      <c r="C16" s="69" t="s">
        <v>288</v>
      </c>
      <c r="D16" s="69" t="s">
        <v>289</v>
      </c>
      <c r="E16" s="69" t="s">
        <v>290</v>
      </c>
      <c r="F16" s="69" t="s">
        <v>290</v>
      </c>
      <c r="G16" s="69" t="s">
        <v>169</v>
      </c>
      <c r="H16" s="69" t="s">
        <v>291</v>
      </c>
      <c r="I16" s="69" t="s">
        <v>292</v>
      </c>
    </row>
    <row r="17" spans="2:9" x14ac:dyDescent="0.3">
      <c r="B17" s="69" t="s">
        <v>293</v>
      </c>
      <c r="C17" s="69" t="s">
        <v>143</v>
      </c>
      <c r="D17" s="69" t="s">
        <v>294</v>
      </c>
      <c r="E17" s="69" t="s">
        <v>288</v>
      </c>
      <c r="F17" s="69" t="s">
        <v>295</v>
      </c>
      <c r="G17" s="69" t="s">
        <v>296</v>
      </c>
      <c r="H17" s="69" t="s">
        <v>272</v>
      </c>
      <c r="I17" s="69" t="s">
        <v>272</v>
      </c>
    </row>
    <row r="18" spans="2:9" x14ac:dyDescent="0.3">
      <c r="B18" t="s">
        <v>278</v>
      </c>
      <c r="C18" s="1">
        <f t="shared" ref="C18:C21" si="0">E8</f>
        <v>9090</v>
      </c>
      <c r="D18" s="1">
        <f t="shared" ref="D18:D21" si="1">J8</f>
        <v>446</v>
      </c>
      <c r="E18" s="34">
        <f t="shared" ref="E18:E21" si="2">D18/C18</f>
        <v>4.9064906490649061E-2</v>
      </c>
      <c r="F18" s="34">
        <f t="shared" ref="F18:F21" si="3">D18/(C18+D18)</f>
        <v>4.6770134228187918E-2</v>
      </c>
      <c r="G18" s="34">
        <f>Tax_rate</f>
        <v>0.24</v>
      </c>
      <c r="H18">
        <f t="shared" ref="H18:H21" si="4">I8</f>
        <v>0.06</v>
      </c>
      <c r="I18" s="82">
        <f t="shared" ref="I18:I21" si="5">H18/(1+E18*(1-G18))</f>
        <v>5.784307070981317E-2</v>
      </c>
    </row>
    <row r="19" spans="2:9" x14ac:dyDescent="0.3">
      <c r="B19" t="s">
        <v>280</v>
      </c>
      <c r="C19" s="1">
        <f t="shared" si="0"/>
        <v>1680</v>
      </c>
      <c r="D19" s="1">
        <f t="shared" si="1"/>
        <v>2410</v>
      </c>
      <c r="E19" s="34">
        <f t="shared" si="2"/>
        <v>1.4345238095238095</v>
      </c>
      <c r="F19" s="34">
        <f t="shared" si="3"/>
        <v>0.58924205378973105</v>
      </c>
      <c r="G19" s="34">
        <f>Tax_rate</f>
        <v>0.24</v>
      </c>
      <c r="H19">
        <f t="shared" si="4"/>
        <v>0.88</v>
      </c>
      <c r="I19" s="82">
        <f t="shared" si="5"/>
        <v>0.42100467023579002</v>
      </c>
    </row>
    <row r="20" spans="2:9" x14ac:dyDescent="0.3">
      <c r="B20" t="s">
        <v>283</v>
      </c>
      <c r="C20" s="1">
        <f t="shared" si="0"/>
        <v>2120</v>
      </c>
      <c r="D20" s="1">
        <f t="shared" si="1"/>
        <v>1370</v>
      </c>
      <c r="E20" s="34">
        <f t="shared" si="2"/>
        <v>0.64622641509433965</v>
      </c>
      <c r="F20" s="34">
        <f t="shared" si="3"/>
        <v>0.39255014326647564</v>
      </c>
      <c r="G20" s="34">
        <f>Tax_rate</f>
        <v>0.24</v>
      </c>
      <c r="H20">
        <f t="shared" si="4"/>
        <v>-0.06</v>
      </c>
      <c r="I20" s="82">
        <f t="shared" si="5"/>
        <v>-4.0237884347716052E-2</v>
      </c>
    </row>
    <row r="21" spans="2:9" ht="15" thickBot="1" x14ac:dyDescent="0.35">
      <c r="B21" t="s">
        <v>284</v>
      </c>
      <c r="C21" s="1">
        <f t="shared" si="0"/>
        <v>783</v>
      </c>
      <c r="D21" s="1">
        <f t="shared" si="1"/>
        <v>80</v>
      </c>
      <c r="E21" s="34">
        <f t="shared" si="2"/>
        <v>0.10217113665389528</v>
      </c>
      <c r="F21" s="34">
        <f t="shared" si="3"/>
        <v>9.2699884125144849E-2</v>
      </c>
      <c r="G21" s="34">
        <f>Tax_rate</f>
        <v>0.24</v>
      </c>
      <c r="H21">
        <f t="shared" si="4"/>
        <v>0.55000000000000004</v>
      </c>
      <c r="I21" s="82">
        <f t="shared" si="5"/>
        <v>0.51036975586631905</v>
      </c>
    </row>
    <row r="22" spans="2:9" ht="15" thickBot="1" x14ac:dyDescent="0.35">
      <c r="B22" s="85" t="s">
        <v>297</v>
      </c>
      <c r="C22" s="86"/>
      <c r="D22" s="86"/>
      <c r="E22" s="88">
        <f t="shared" ref="E22:I22" si="6">AVERAGE(E18:E21)</f>
        <v>0.55799656694067334</v>
      </c>
      <c r="F22" s="88">
        <f t="shared" si="6"/>
        <v>0.28031555385238482</v>
      </c>
      <c r="G22" s="88">
        <f t="shared" si="6"/>
        <v>0.24</v>
      </c>
      <c r="H22" s="90">
        <f t="shared" si="6"/>
        <v>0.35749999999999998</v>
      </c>
      <c r="I22" s="91">
        <f t="shared" si="6"/>
        <v>0.23724490311605154</v>
      </c>
    </row>
    <row r="23" spans="2:9" ht="15" thickBot="1" x14ac:dyDescent="0.35">
      <c r="B23" s="83" t="s">
        <v>298</v>
      </c>
      <c r="C23" s="84"/>
      <c r="D23" s="84"/>
      <c r="E23" s="89">
        <f t="shared" ref="E23:I23" si="7">MEDIAN(E18:E21)</f>
        <v>0.37419877587411743</v>
      </c>
      <c r="F23" s="89">
        <f t="shared" si="7"/>
        <v>0.24262501369581024</v>
      </c>
      <c r="G23" s="89">
        <f t="shared" si="7"/>
        <v>0.24</v>
      </c>
      <c r="H23" s="92">
        <f t="shared" si="7"/>
        <v>0.30500000000000005</v>
      </c>
      <c r="I23" s="93">
        <f t="shared" si="7"/>
        <v>0.23942387047280161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77D9-9863-496A-97B9-731D7DBE9581}">
  <dimension ref="A2:H251"/>
  <sheetViews>
    <sheetView topLeftCell="A123" zoomScale="88" workbookViewId="0">
      <selection activeCell="D135" sqref="D135"/>
    </sheetView>
  </sheetViews>
  <sheetFormatPr defaultRowHeight="14.4" x14ac:dyDescent="0.3"/>
  <cols>
    <col min="1" max="1" width="52.44140625" bestFit="1" customWidth="1"/>
    <col min="2" max="6" width="10.6640625" bestFit="1" customWidth="1"/>
  </cols>
  <sheetData>
    <row r="2" spans="1:6" x14ac:dyDescent="0.3">
      <c r="A2" t="s">
        <v>172</v>
      </c>
    </row>
    <row r="3" spans="1:6" x14ac:dyDescent="0.3">
      <c r="A3" t="s">
        <v>0</v>
      </c>
      <c r="B3">
        <v>2025</v>
      </c>
      <c r="C3">
        <v>2024</v>
      </c>
      <c r="D3">
        <v>2023</v>
      </c>
      <c r="E3">
        <v>2022</v>
      </c>
      <c r="F3">
        <v>2021</v>
      </c>
    </row>
    <row r="4" spans="1:6" x14ac:dyDescent="0.3">
      <c r="A4" t="s">
        <v>1</v>
      </c>
      <c r="B4" s="1">
        <v>11433</v>
      </c>
      <c r="C4" s="1">
        <v>9982</v>
      </c>
      <c r="D4" s="1">
        <v>9214</v>
      </c>
      <c r="E4" s="1">
        <v>8075</v>
      </c>
      <c r="F4" s="1">
        <v>7837</v>
      </c>
    </row>
    <row r="5" spans="1:6" x14ac:dyDescent="0.3">
      <c r="A5" t="s">
        <v>2</v>
      </c>
      <c r="B5" s="2">
        <v>0.1454</v>
      </c>
      <c r="C5" s="2">
        <v>8.3299999999999999E-2</v>
      </c>
      <c r="D5" s="2">
        <v>0.14099999999999999</v>
      </c>
      <c r="E5" s="2">
        <v>3.04E-2</v>
      </c>
      <c r="F5" t="s">
        <v>3</v>
      </c>
    </row>
    <row r="6" spans="1:6" x14ac:dyDescent="0.3">
      <c r="A6" t="s">
        <v>4</v>
      </c>
      <c r="B6" s="1">
        <v>10412</v>
      </c>
      <c r="C6" s="1">
        <v>9124</v>
      </c>
      <c r="D6" s="1">
        <v>8407</v>
      </c>
      <c r="E6" s="1">
        <v>7543</v>
      </c>
      <c r="F6" s="1">
        <v>7270</v>
      </c>
    </row>
    <row r="7" spans="1:6" x14ac:dyDescent="0.3">
      <c r="A7" t="s">
        <v>5</v>
      </c>
      <c r="B7" s="1">
        <v>10135</v>
      </c>
      <c r="C7" s="1">
        <v>8877</v>
      </c>
      <c r="D7" s="1">
        <v>8185</v>
      </c>
      <c r="E7" s="1">
        <v>7334</v>
      </c>
      <c r="F7" s="1">
        <v>7081</v>
      </c>
    </row>
    <row r="8" spans="1:6" x14ac:dyDescent="0.3">
      <c r="A8" t="s">
        <v>6</v>
      </c>
      <c r="B8">
        <v>277</v>
      </c>
      <c r="C8">
        <v>247</v>
      </c>
      <c r="D8">
        <v>223</v>
      </c>
      <c r="E8">
        <v>209</v>
      </c>
      <c r="F8">
        <v>190</v>
      </c>
    </row>
    <row r="9" spans="1:6" x14ac:dyDescent="0.3">
      <c r="A9" t="s">
        <v>7</v>
      </c>
      <c r="B9">
        <v>277</v>
      </c>
      <c r="C9">
        <v>247</v>
      </c>
      <c r="D9">
        <v>223</v>
      </c>
      <c r="E9">
        <v>209</v>
      </c>
      <c r="F9">
        <v>190</v>
      </c>
    </row>
    <row r="10" spans="1:6" x14ac:dyDescent="0.3">
      <c r="A10" t="s">
        <v>8</v>
      </c>
      <c r="B10">
        <v>0</v>
      </c>
      <c r="C10">
        <v>0</v>
      </c>
      <c r="D10" t="s">
        <v>3</v>
      </c>
      <c r="E10">
        <v>0</v>
      </c>
      <c r="F10">
        <v>0</v>
      </c>
    </row>
    <row r="11" spans="1:6" x14ac:dyDescent="0.3">
      <c r="A11" t="s">
        <v>9</v>
      </c>
      <c r="B11" s="2">
        <v>0.1411</v>
      </c>
      <c r="C11" s="2">
        <v>8.5199999999999998E-2</v>
      </c>
      <c r="D11" s="2">
        <v>0.1145</v>
      </c>
      <c r="E11" s="2">
        <v>3.7600000000000001E-2</v>
      </c>
      <c r="F11" t="s">
        <v>3</v>
      </c>
    </row>
    <row r="12" spans="1:6" x14ac:dyDescent="0.3">
      <c r="A12" t="s">
        <v>10</v>
      </c>
      <c r="B12" s="1">
        <v>1022</v>
      </c>
      <c r="C12">
        <v>858</v>
      </c>
      <c r="D12">
        <v>807</v>
      </c>
      <c r="E12">
        <v>532</v>
      </c>
      <c r="F12">
        <v>566</v>
      </c>
    </row>
    <row r="13" spans="1:6" x14ac:dyDescent="0.3">
      <c r="A13" t="s">
        <v>11</v>
      </c>
      <c r="B13" s="2">
        <v>0.191</v>
      </c>
      <c r="C13" s="2">
        <v>6.3200000000000006E-2</v>
      </c>
      <c r="D13" s="2">
        <v>0.51700000000000002</v>
      </c>
      <c r="E13" s="2">
        <v>-6.0900000000000003E-2</v>
      </c>
      <c r="F13" t="s">
        <v>3</v>
      </c>
    </row>
    <row r="15" spans="1:6" x14ac:dyDescent="0.3">
      <c r="A15" t="s">
        <v>12</v>
      </c>
      <c r="B15" s="2">
        <v>8.9399999999999993E-2</v>
      </c>
      <c r="C15" t="s">
        <v>3</v>
      </c>
      <c r="D15" t="s">
        <v>3</v>
      </c>
      <c r="E15" t="s">
        <v>3</v>
      </c>
      <c r="F15" t="s">
        <v>3</v>
      </c>
    </row>
    <row r="16" spans="1:6" x14ac:dyDescent="0.3">
      <c r="A16" t="s">
        <v>13</v>
      </c>
      <c r="B16" s="1">
        <v>1154</v>
      </c>
      <c r="C16">
        <v>999</v>
      </c>
      <c r="D16">
        <v>912</v>
      </c>
      <c r="E16">
        <v>762</v>
      </c>
      <c r="F16">
        <v>658</v>
      </c>
    </row>
    <row r="17" spans="1:6" x14ac:dyDescent="0.3">
      <c r="A17" t="s">
        <v>14</v>
      </c>
      <c r="B17" s="1">
        <v>1154</v>
      </c>
      <c r="C17">
        <v>999</v>
      </c>
      <c r="D17">
        <v>912</v>
      </c>
      <c r="E17">
        <v>762</v>
      </c>
      <c r="F17">
        <v>658</v>
      </c>
    </row>
    <row r="18" spans="1:6" x14ac:dyDescent="0.3">
      <c r="A18" t="s">
        <v>15</v>
      </c>
      <c r="B18" s="2">
        <v>0.15429999999999999</v>
      </c>
      <c r="C18" s="2">
        <v>9.6299999999999997E-2</v>
      </c>
      <c r="D18" s="2">
        <v>0.19700000000000001</v>
      </c>
      <c r="E18" s="2">
        <v>0.15640000000000001</v>
      </c>
      <c r="F18" t="s">
        <v>3</v>
      </c>
    </row>
    <row r="19" spans="1:6" x14ac:dyDescent="0.3">
      <c r="A19" t="s">
        <v>16</v>
      </c>
      <c r="B19">
        <v>-132</v>
      </c>
      <c r="C19">
        <v>-142</v>
      </c>
      <c r="D19">
        <v>-105</v>
      </c>
      <c r="E19">
        <v>-230</v>
      </c>
      <c r="F19">
        <v>-92</v>
      </c>
    </row>
    <row r="21" spans="1:6" x14ac:dyDescent="0.3">
      <c r="A21" t="s">
        <v>17</v>
      </c>
      <c r="B21">
        <v>0</v>
      </c>
      <c r="C21">
        <v>-1</v>
      </c>
      <c r="D21">
        <v>0</v>
      </c>
      <c r="E21">
        <v>0</v>
      </c>
      <c r="F21">
        <v>0</v>
      </c>
    </row>
    <row r="23" spans="1:6" x14ac:dyDescent="0.3">
      <c r="A23" t="s">
        <v>18</v>
      </c>
      <c r="B23">
        <v>993</v>
      </c>
      <c r="C23">
        <v>844</v>
      </c>
      <c r="D23">
        <v>687</v>
      </c>
      <c r="E23">
        <v>762</v>
      </c>
      <c r="F23">
        <v>703</v>
      </c>
    </row>
    <row r="24" spans="1:6" x14ac:dyDescent="0.3">
      <c r="A24" t="s">
        <v>19</v>
      </c>
      <c r="B24" t="s">
        <v>3</v>
      </c>
      <c r="C24" t="s">
        <v>3</v>
      </c>
      <c r="D24" t="s">
        <v>3</v>
      </c>
      <c r="E24">
        <v>3</v>
      </c>
      <c r="F24">
        <v>5</v>
      </c>
    </row>
    <row r="25" spans="1:6" x14ac:dyDescent="0.3">
      <c r="A25" t="s">
        <v>20</v>
      </c>
      <c r="B25">
        <v>48</v>
      </c>
      <c r="C25">
        <v>45</v>
      </c>
      <c r="D25">
        <v>44</v>
      </c>
      <c r="E25">
        <v>52</v>
      </c>
      <c r="F25">
        <v>53</v>
      </c>
    </row>
    <row r="26" spans="1:6" x14ac:dyDescent="0.3">
      <c r="A26" t="s">
        <v>21</v>
      </c>
      <c r="B26" s="2">
        <v>6.3899999999999998E-2</v>
      </c>
      <c r="C26" s="2">
        <v>2.2800000000000001E-2</v>
      </c>
      <c r="D26" s="2">
        <v>-0.1459</v>
      </c>
      <c r="E26" s="2">
        <v>-3.2599999999999997E-2</v>
      </c>
      <c r="F26" t="s">
        <v>3</v>
      </c>
    </row>
    <row r="28" spans="1:6" x14ac:dyDescent="0.3">
      <c r="A28" t="s">
        <v>22</v>
      </c>
      <c r="B28">
        <v>48</v>
      </c>
      <c r="C28">
        <v>45</v>
      </c>
      <c r="D28">
        <v>44</v>
      </c>
      <c r="E28">
        <v>52</v>
      </c>
      <c r="F28">
        <v>53</v>
      </c>
    </row>
    <row r="29" spans="1:6" x14ac:dyDescent="0.3">
      <c r="A29" t="s">
        <v>23</v>
      </c>
      <c r="B29">
        <v>814</v>
      </c>
      <c r="C29">
        <v>659</v>
      </c>
      <c r="D29">
        <v>538</v>
      </c>
      <c r="E29">
        <v>484</v>
      </c>
      <c r="F29">
        <v>562</v>
      </c>
    </row>
    <row r="30" spans="1:6" x14ac:dyDescent="0.3">
      <c r="A30" t="s">
        <v>24</v>
      </c>
      <c r="B30" s="2">
        <v>0.23530000000000001</v>
      </c>
      <c r="C30" s="2">
        <v>0.22370000000000001</v>
      </c>
      <c r="D30" s="2">
        <v>0.11169999999999999</v>
      </c>
      <c r="E30" s="2">
        <v>-0.13830000000000001</v>
      </c>
      <c r="F30" t="s">
        <v>3</v>
      </c>
    </row>
    <row r="32" spans="1:6" x14ac:dyDescent="0.3">
      <c r="A32" t="s">
        <v>25</v>
      </c>
      <c r="B32" s="2">
        <v>7.1199999999999999E-2</v>
      </c>
      <c r="C32" t="s">
        <v>3</v>
      </c>
      <c r="D32" t="s">
        <v>3</v>
      </c>
      <c r="E32" t="s">
        <v>3</v>
      </c>
      <c r="F32" t="s">
        <v>3</v>
      </c>
    </row>
    <row r="33" spans="1:6" x14ac:dyDescent="0.3">
      <c r="A33" t="s">
        <v>26</v>
      </c>
      <c r="B33">
        <v>199</v>
      </c>
      <c r="C33">
        <v>168</v>
      </c>
      <c r="D33">
        <v>138</v>
      </c>
      <c r="E33">
        <v>157</v>
      </c>
      <c r="F33">
        <v>143</v>
      </c>
    </row>
    <row r="34" spans="1:6" x14ac:dyDescent="0.3">
      <c r="A34" t="s">
        <v>27</v>
      </c>
      <c r="B34" t="s">
        <v>3</v>
      </c>
      <c r="C34">
        <v>165</v>
      </c>
      <c r="D34">
        <v>139</v>
      </c>
      <c r="E34">
        <v>161</v>
      </c>
      <c r="F34">
        <v>148</v>
      </c>
    </row>
    <row r="35" spans="1:6" x14ac:dyDescent="0.3">
      <c r="A35" t="s">
        <v>28</v>
      </c>
      <c r="B35" t="s">
        <v>3</v>
      </c>
      <c r="C35">
        <v>4</v>
      </c>
      <c r="D35">
        <v>-1</v>
      </c>
      <c r="E35">
        <v>-4</v>
      </c>
      <c r="F35">
        <v>-5</v>
      </c>
    </row>
    <row r="37" spans="1:6" x14ac:dyDescent="0.3">
      <c r="A37" t="s">
        <v>29</v>
      </c>
      <c r="B37">
        <v>614</v>
      </c>
      <c r="C37">
        <v>490</v>
      </c>
      <c r="D37">
        <v>400</v>
      </c>
      <c r="E37">
        <v>327</v>
      </c>
      <c r="F37">
        <v>419</v>
      </c>
    </row>
    <row r="38" spans="1:6" x14ac:dyDescent="0.3">
      <c r="A38" t="s">
        <v>30</v>
      </c>
      <c r="B38">
        <v>614</v>
      </c>
      <c r="C38">
        <v>490</v>
      </c>
      <c r="D38">
        <v>400</v>
      </c>
      <c r="E38">
        <v>327</v>
      </c>
      <c r="F38">
        <v>419</v>
      </c>
    </row>
    <row r="39" spans="1:6" x14ac:dyDescent="0.3">
      <c r="A39" t="s">
        <v>31</v>
      </c>
      <c r="B39" s="2">
        <v>0.25280000000000002</v>
      </c>
      <c r="C39" s="2">
        <v>0.22500000000000001</v>
      </c>
      <c r="D39" s="2">
        <v>0.22520000000000001</v>
      </c>
      <c r="E39" s="2">
        <v>-0.2205</v>
      </c>
      <c r="F39" t="s">
        <v>3</v>
      </c>
    </row>
    <row r="41" spans="1:6" x14ac:dyDescent="0.3">
      <c r="A41" t="s">
        <v>32</v>
      </c>
      <c r="B41" s="2">
        <v>5.3699999999999998E-2</v>
      </c>
      <c r="C41" t="s">
        <v>3</v>
      </c>
      <c r="D41" t="s">
        <v>3</v>
      </c>
      <c r="E41" t="s">
        <v>3</v>
      </c>
      <c r="F41" t="s">
        <v>3</v>
      </c>
    </row>
    <row r="42" spans="1:6" x14ac:dyDescent="0.3">
      <c r="A42" t="s">
        <v>33</v>
      </c>
      <c r="B42">
        <v>614</v>
      </c>
      <c r="C42">
        <v>490</v>
      </c>
      <c r="D42">
        <v>400</v>
      </c>
      <c r="E42">
        <v>327</v>
      </c>
      <c r="F42">
        <v>419</v>
      </c>
    </row>
    <row r="43" spans="1:6" x14ac:dyDescent="0.3">
      <c r="A43" t="s">
        <v>34</v>
      </c>
      <c r="B43">
        <v>614</v>
      </c>
      <c r="C43">
        <v>490</v>
      </c>
      <c r="D43">
        <v>400</v>
      </c>
      <c r="E43">
        <v>327</v>
      </c>
      <c r="F43">
        <v>419</v>
      </c>
    </row>
    <row r="44" spans="1:6" x14ac:dyDescent="0.3">
      <c r="A44" t="s">
        <v>35</v>
      </c>
      <c r="B44">
        <v>7.0000000000000007E-2</v>
      </c>
      <c r="C44">
        <v>0.06</v>
      </c>
      <c r="D44">
        <v>0.05</v>
      </c>
      <c r="E44">
        <v>0.04</v>
      </c>
      <c r="F44">
        <v>0.05</v>
      </c>
    </row>
    <row r="45" spans="1:6" x14ac:dyDescent="0.3">
      <c r="A45" t="s">
        <v>36</v>
      </c>
      <c r="B45" s="2">
        <v>0.2286</v>
      </c>
      <c r="C45" s="2">
        <v>0.25</v>
      </c>
      <c r="D45" s="2">
        <v>0.22370000000000001</v>
      </c>
      <c r="E45" s="2">
        <v>-0.22040000000000001</v>
      </c>
      <c r="F45" t="s">
        <v>3</v>
      </c>
    </row>
    <row r="47" spans="1:6" x14ac:dyDescent="0.3">
      <c r="A47" t="s">
        <v>37</v>
      </c>
      <c r="B47" s="1">
        <v>8400</v>
      </c>
      <c r="C47" s="1">
        <v>8246</v>
      </c>
      <c r="D47" s="1">
        <v>8400</v>
      </c>
      <c r="E47" s="1">
        <v>8400</v>
      </c>
      <c r="F47" s="1">
        <v>8400</v>
      </c>
    </row>
    <row r="48" spans="1:6" x14ac:dyDescent="0.3">
      <c r="A48" t="s">
        <v>38</v>
      </c>
      <c r="B48" t="s">
        <v>3</v>
      </c>
      <c r="C48">
        <v>0.06</v>
      </c>
      <c r="D48">
        <v>0.05</v>
      </c>
      <c r="E48">
        <v>0.04</v>
      </c>
      <c r="F48">
        <v>0.05</v>
      </c>
    </row>
    <row r="49" spans="1:6" x14ac:dyDescent="0.3">
      <c r="A49" t="s">
        <v>39</v>
      </c>
      <c r="B49" s="2">
        <v>0</v>
      </c>
      <c r="C49" s="2">
        <v>0.24790000000000001</v>
      </c>
      <c r="D49" s="2">
        <v>0.22520000000000001</v>
      </c>
      <c r="E49" s="2">
        <v>-0.2205</v>
      </c>
      <c r="F49" t="s">
        <v>3</v>
      </c>
    </row>
    <row r="51" spans="1:6" x14ac:dyDescent="0.3">
      <c r="A51" t="s">
        <v>40</v>
      </c>
      <c r="B51" t="s">
        <v>3</v>
      </c>
      <c r="C51" s="1">
        <v>8246</v>
      </c>
      <c r="D51" s="1">
        <v>8400</v>
      </c>
      <c r="E51" s="1">
        <v>8400</v>
      </c>
      <c r="F51" s="1">
        <v>8400</v>
      </c>
    </row>
    <row r="52" spans="1:6" x14ac:dyDescent="0.3">
      <c r="A52" t="s">
        <v>41</v>
      </c>
      <c r="B52">
        <v>145</v>
      </c>
      <c r="C52">
        <v>105</v>
      </c>
      <c r="D52">
        <v>118</v>
      </c>
      <c r="E52">
        <v>-20</v>
      </c>
      <c r="F52">
        <v>98</v>
      </c>
    </row>
    <row r="54" spans="1:6" x14ac:dyDescent="0.3">
      <c r="A54" t="s">
        <v>42</v>
      </c>
      <c r="B54" s="2">
        <v>0.38279999999999997</v>
      </c>
      <c r="C54" s="2">
        <v>-0.1103</v>
      </c>
      <c r="D54" s="2">
        <v>6.8391999999999999</v>
      </c>
      <c r="E54" s="2">
        <v>-1.2072000000000001</v>
      </c>
      <c r="F54" t="s">
        <v>3</v>
      </c>
    </row>
    <row r="56" spans="1:6" x14ac:dyDescent="0.3">
      <c r="A56" t="s">
        <v>43</v>
      </c>
      <c r="B56" s="2">
        <v>1.2699999999999999E-2</v>
      </c>
      <c r="C56" t="s">
        <v>3</v>
      </c>
      <c r="D56" t="s">
        <v>3</v>
      </c>
      <c r="E56" t="s">
        <v>3</v>
      </c>
      <c r="F56" t="s">
        <v>3</v>
      </c>
    </row>
    <row r="57" spans="1:6" x14ac:dyDescent="0.3">
      <c r="A57" t="s">
        <v>16</v>
      </c>
      <c r="B57">
        <v>-132</v>
      </c>
      <c r="C57">
        <v>-142</v>
      </c>
      <c r="D57" t="s">
        <v>3</v>
      </c>
      <c r="E57">
        <v>-230</v>
      </c>
      <c r="F57">
        <v>-92</v>
      </c>
    </row>
    <row r="59" spans="1:6" x14ac:dyDescent="0.3">
      <c r="A59" t="s">
        <v>109</v>
      </c>
    </row>
    <row r="60" spans="1:6" x14ac:dyDescent="0.3">
      <c r="A60" t="s">
        <v>44</v>
      </c>
    </row>
    <row r="61" spans="1:6" x14ac:dyDescent="0.3">
      <c r="A61" t="s">
        <v>0</v>
      </c>
      <c r="B61">
        <v>2025</v>
      </c>
      <c r="C61">
        <v>2024</v>
      </c>
      <c r="D61">
        <v>2023</v>
      </c>
      <c r="E61">
        <v>2022</v>
      </c>
      <c r="F61">
        <v>2021</v>
      </c>
    </row>
    <row r="62" spans="1:6" x14ac:dyDescent="0.3">
      <c r="A62" t="s">
        <v>45</v>
      </c>
      <c r="B62">
        <v>898</v>
      </c>
      <c r="C62">
        <v>698</v>
      </c>
      <c r="D62">
        <v>138</v>
      </c>
      <c r="E62">
        <v>85</v>
      </c>
      <c r="F62">
        <v>350</v>
      </c>
    </row>
    <row r="63" spans="1:6" x14ac:dyDescent="0.3">
      <c r="A63" t="s">
        <v>46</v>
      </c>
      <c r="B63">
        <v>898</v>
      </c>
      <c r="C63">
        <v>498</v>
      </c>
      <c r="D63">
        <v>138</v>
      </c>
      <c r="E63">
        <v>85</v>
      </c>
      <c r="F63">
        <v>29</v>
      </c>
    </row>
    <row r="64" spans="1:6" x14ac:dyDescent="0.3">
      <c r="A64" t="s">
        <v>47</v>
      </c>
      <c r="B64" s="2">
        <v>0.28610000000000002</v>
      </c>
      <c r="C64" s="2">
        <v>4.0744999999999996</v>
      </c>
      <c r="D64" s="2">
        <v>0.61739999999999995</v>
      </c>
      <c r="E64" s="2">
        <v>-0.7571</v>
      </c>
      <c r="F64" t="s">
        <v>3</v>
      </c>
    </row>
    <row r="66" spans="1:6" x14ac:dyDescent="0.3">
      <c r="A66" t="s">
        <v>48</v>
      </c>
      <c r="B66" s="2">
        <v>0.2203</v>
      </c>
      <c r="C66" s="2">
        <v>0.18559999999999999</v>
      </c>
      <c r="D66" s="2">
        <v>4.8500000000000001E-2</v>
      </c>
      <c r="E66" s="2">
        <v>3.5700000000000003E-2</v>
      </c>
      <c r="F66" s="2">
        <v>0.14849999999999999</v>
      </c>
    </row>
    <row r="67" spans="1:6" x14ac:dyDescent="0.3">
      <c r="A67" t="s">
        <v>49</v>
      </c>
      <c r="B67">
        <v>45</v>
      </c>
      <c r="C67">
        <v>20</v>
      </c>
      <c r="D67">
        <v>44</v>
      </c>
      <c r="E67">
        <v>29</v>
      </c>
      <c r="F67">
        <v>18</v>
      </c>
    </row>
    <row r="68" spans="1:6" x14ac:dyDescent="0.3">
      <c r="A68" t="s">
        <v>50</v>
      </c>
      <c r="B68">
        <v>45</v>
      </c>
      <c r="C68">
        <v>15</v>
      </c>
      <c r="D68">
        <v>42</v>
      </c>
      <c r="E68">
        <v>28</v>
      </c>
      <c r="F68">
        <v>17</v>
      </c>
    </row>
    <row r="69" spans="1:6" x14ac:dyDescent="0.3">
      <c r="A69" t="s">
        <v>51</v>
      </c>
      <c r="B69">
        <v>45</v>
      </c>
      <c r="C69">
        <v>15</v>
      </c>
      <c r="D69">
        <v>42</v>
      </c>
      <c r="E69">
        <v>28</v>
      </c>
      <c r="F69">
        <v>17</v>
      </c>
    </row>
    <row r="70" spans="1:6" x14ac:dyDescent="0.3">
      <c r="A70" t="s">
        <v>52</v>
      </c>
      <c r="B70" t="s">
        <v>3</v>
      </c>
      <c r="C70">
        <v>5</v>
      </c>
      <c r="D70">
        <v>2</v>
      </c>
      <c r="E70">
        <v>1</v>
      </c>
      <c r="F70">
        <v>1</v>
      </c>
    </row>
    <row r="71" spans="1:6" x14ac:dyDescent="0.3">
      <c r="A71" t="s">
        <v>53</v>
      </c>
      <c r="B71" s="2">
        <v>1.1859</v>
      </c>
      <c r="C71" s="2">
        <v>-0.53580000000000005</v>
      </c>
      <c r="D71" s="2">
        <v>0.52239999999999998</v>
      </c>
      <c r="E71" s="2">
        <v>0.57499999999999996</v>
      </c>
      <c r="F71" t="s">
        <v>3</v>
      </c>
    </row>
    <row r="73" spans="1:6" x14ac:dyDescent="0.3">
      <c r="A73" t="s">
        <v>54</v>
      </c>
      <c r="B73">
        <v>256.33</v>
      </c>
      <c r="C73">
        <v>489.18</v>
      </c>
      <c r="D73">
        <v>209.61</v>
      </c>
      <c r="E73">
        <v>279.66000000000003</v>
      </c>
      <c r="F73">
        <v>427.47</v>
      </c>
    </row>
    <row r="74" spans="1:6" x14ac:dyDescent="0.3">
      <c r="A74" t="s">
        <v>55</v>
      </c>
      <c r="B74" s="1">
        <v>1450</v>
      </c>
      <c r="C74" s="1">
        <v>1339</v>
      </c>
      <c r="D74" s="1">
        <v>1174</v>
      </c>
      <c r="E74" s="1">
        <v>1093</v>
      </c>
      <c r="F74">
        <v>803</v>
      </c>
    </row>
    <row r="75" spans="1:6" x14ac:dyDescent="0.3">
      <c r="A75" t="s">
        <v>56</v>
      </c>
      <c r="B75" t="s">
        <v>3</v>
      </c>
      <c r="C75" s="1">
        <v>1339</v>
      </c>
      <c r="D75" s="1">
        <v>1174</v>
      </c>
      <c r="E75" s="1">
        <v>1093</v>
      </c>
      <c r="F75">
        <v>803</v>
      </c>
    </row>
    <row r="76" spans="1:6" x14ac:dyDescent="0.3">
      <c r="A76" t="s">
        <v>57</v>
      </c>
      <c r="B76" t="s">
        <v>3</v>
      </c>
      <c r="C76" t="s">
        <v>3</v>
      </c>
      <c r="D76" t="s">
        <v>3</v>
      </c>
      <c r="E76">
        <v>0</v>
      </c>
      <c r="F76" t="s">
        <v>3</v>
      </c>
    </row>
    <row r="77" spans="1:6" x14ac:dyDescent="0.3">
      <c r="A77" t="s">
        <v>58</v>
      </c>
      <c r="B77">
        <v>60</v>
      </c>
      <c r="C77">
        <v>49</v>
      </c>
      <c r="D77">
        <v>40</v>
      </c>
      <c r="E77">
        <v>36</v>
      </c>
      <c r="F77">
        <v>43</v>
      </c>
    </row>
    <row r="78" spans="1:6" x14ac:dyDescent="0.3">
      <c r="A78" t="s">
        <v>59</v>
      </c>
      <c r="B78" t="s">
        <v>3</v>
      </c>
      <c r="C78">
        <v>4</v>
      </c>
      <c r="D78">
        <v>0</v>
      </c>
      <c r="E78">
        <v>0</v>
      </c>
      <c r="F78">
        <v>0</v>
      </c>
    </row>
    <row r="79" spans="1:6" x14ac:dyDescent="0.3">
      <c r="A79" t="s">
        <v>60</v>
      </c>
      <c r="B79">
        <v>60</v>
      </c>
      <c r="C79">
        <v>45</v>
      </c>
      <c r="D79">
        <v>40</v>
      </c>
      <c r="E79">
        <v>35</v>
      </c>
      <c r="F79">
        <v>43</v>
      </c>
    </row>
    <row r="80" spans="1:6" x14ac:dyDescent="0.3">
      <c r="A80" t="s">
        <v>61</v>
      </c>
      <c r="B80" s="1">
        <v>2452</v>
      </c>
      <c r="C80" s="1">
        <v>2106</v>
      </c>
      <c r="D80" s="1">
        <v>1396</v>
      </c>
      <c r="E80" s="1">
        <v>1243</v>
      </c>
      <c r="F80" s="1">
        <v>1215</v>
      </c>
    </row>
    <row r="81" spans="1:6" x14ac:dyDescent="0.3">
      <c r="A81" t="s">
        <v>62</v>
      </c>
      <c r="B81" s="1">
        <v>1615</v>
      </c>
      <c r="C81" s="1">
        <v>1442</v>
      </c>
      <c r="D81" s="1">
        <v>1254</v>
      </c>
      <c r="E81" s="1">
        <v>1122</v>
      </c>
      <c r="F81" s="1">
        <v>1131</v>
      </c>
    </row>
    <row r="82" spans="1:6" x14ac:dyDescent="0.3">
      <c r="A82" t="s">
        <v>63</v>
      </c>
      <c r="B82" t="s">
        <v>3</v>
      </c>
      <c r="C82" s="1">
        <v>1976</v>
      </c>
      <c r="D82" s="1">
        <v>1720</v>
      </c>
      <c r="E82" s="1">
        <v>1523</v>
      </c>
      <c r="F82" s="1">
        <v>1463</v>
      </c>
    </row>
    <row r="83" spans="1:6" x14ac:dyDescent="0.3">
      <c r="A83" t="s">
        <v>64</v>
      </c>
      <c r="B83" t="s">
        <v>3</v>
      </c>
      <c r="C83">
        <v>168</v>
      </c>
      <c r="D83">
        <v>164</v>
      </c>
      <c r="E83">
        <v>140</v>
      </c>
      <c r="F83">
        <v>105</v>
      </c>
    </row>
    <row r="84" spans="1:6" x14ac:dyDescent="0.3">
      <c r="A84" t="s">
        <v>65</v>
      </c>
      <c r="B84" t="s">
        <v>3</v>
      </c>
      <c r="C84">
        <v>97</v>
      </c>
      <c r="D84">
        <v>89</v>
      </c>
      <c r="E84">
        <v>55</v>
      </c>
      <c r="F84">
        <v>50</v>
      </c>
    </row>
    <row r="85" spans="1:6" x14ac:dyDescent="0.3">
      <c r="A85" t="s">
        <v>66</v>
      </c>
      <c r="B85" t="s">
        <v>3</v>
      </c>
      <c r="C85">
        <v>28</v>
      </c>
      <c r="D85">
        <v>3</v>
      </c>
      <c r="E85">
        <v>6</v>
      </c>
      <c r="F85">
        <v>22</v>
      </c>
    </row>
    <row r="86" spans="1:6" x14ac:dyDescent="0.3">
      <c r="A86" t="s">
        <v>67</v>
      </c>
      <c r="B86" t="s">
        <v>3</v>
      </c>
      <c r="C86">
        <v>64</v>
      </c>
      <c r="D86">
        <v>41</v>
      </c>
      <c r="E86">
        <v>34</v>
      </c>
      <c r="F86">
        <v>30</v>
      </c>
    </row>
    <row r="87" spans="1:6" x14ac:dyDescent="0.3">
      <c r="A87" t="s">
        <v>68</v>
      </c>
      <c r="B87" t="s">
        <v>3</v>
      </c>
      <c r="C87">
        <v>753</v>
      </c>
      <c r="D87">
        <v>649</v>
      </c>
      <c r="E87">
        <v>553</v>
      </c>
      <c r="F87">
        <v>478</v>
      </c>
    </row>
    <row r="88" spans="1:6" x14ac:dyDescent="0.3">
      <c r="A88" t="s">
        <v>69</v>
      </c>
      <c r="B88" t="s">
        <v>3</v>
      </c>
      <c r="C88">
        <v>534</v>
      </c>
      <c r="D88">
        <v>466</v>
      </c>
      <c r="E88">
        <v>401</v>
      </c>
      <c r="F88">
        <v>332</v>
      </c>
    </row>
    <row r="89" spans="1:6" x14ac:dyDescent="0.3">
      <c r="A89" t="s">
        <v>64</v>
      </c>
      <c r="B89" t="s">
        <v>3</v>
      </c>
      <c r="C89">
        <v>21</v>
      </c>
      <c r="D89">
        <v>17</v>
      </c>
      <c r="E89">
        <v>14</v>
      </c>
      <c r="F89">
        <v>12</v>
      </c>
    </row>
    <row r="90" spans="1:6" x14ac:dyDescent="0.3">
      <c r="A90" t="s">
        <v>67</v>
      </c>
      <c r="B90" t="s">
        <v>3</v>
      </c>
      <c r="C90">
        <v>28</v>
      </c>
      <c r="D90">
        <v>29</v>
      </c>
      <c r="E90">
        <v>27</v>
      </c>
      <c r="F90">
        <v>24</v>
      </c>
    </row>
    <row r="91" spans="1:6" x14ac:dyDescent="0.3">
      <c r="A91" t="s">
        <v>68</v>
      </c>
      <c r="B91" t="s">
        <v>3</v>
      </c>
      <c r="C91">
        <v>485</v>
      </c>
      <c r="D91">
        <v>420</v>
      </c>
      <c r="E91">
        <v>360</v>
      </c>
      <c r="F91">
        <v>297</v>
      </c>
    </row>
    <row r="92" spans="1:6" x14ac:dyDescent="0.3">
      <c r="A92" t="s">
        <v>70</v>
      </c>
      <c r="B92">
        <v>0</v>
      </c>
      <c r="C92">
        <v>0</v>
      </c>
      <c r="D92">
        <v>0</v>
      </c>
      <c r="E92" t="s">
        <v>3</v>
      </c>
      <c r="F92">
        <v>0</v>
      </c>
    </row>
    <row r="93" spans="1:6" x14ac:dyDescent="0.3">
      <c r="A93" t="s">
        <v>71</v>
      </c>
      <c r="B93" t="s">
        <v>3</v>
      </c>
      <c r="C93">
        <v>0</v>
      </c>
      <c r="D93">
        <v>0</v>
      </c>
      <c r="E93" t="s">
        <v>3</v>
      </c>
      <c r="F93">
        <v>0</v>
      </c>
    </row>
    <row r="94" spans="1:6" x14ac:dyDescent="0.3">
      <c r="A94" t="s">
        <v>72</v>
      </c>
      <c r="B94" s="1">
        <v>4076</v>
      </c>
      <c r="C94" s="1">
        <v>3761</v>
      </c>
      <c r="D94" s="1">
        <v>2839</v>
      </c>
      <c r="E94" s="1">
        <v>2380</v>
      </c>
      <c r="F94" s="1">
        <v>2358</v>
      </c>
    </row>
    <row r="95" spans="1:6" x14ac:dyDescent="0.3">
      <c r="A95" t="s">
        <v>73</v>
      </c>
      <c r="B95" s="2">
        <v>8.3799999999999999E-2</v>
      </c>
      <c r="C95" s="2">
        <v>0.3246</v>
      </c>
      <c r="D95" s="2">
        <v>0.19270000000000001</v>
      </c>
      <c r="E95" s="2">
        <v>9.4999999999999998E-3</v>
      </c>
      <c r="F95" t="s">
        <v>3</v>
      </c>
    </row>
    <row r="96" spans="1:6" x14ac:dyDescent="0.3">
      <c r="A96" t="s">
        <v>74</v>
      </c>
      <c r="B96">
        <v>2.92</v>
      </c>
      <c r="C96" t="s">
        <v>3</v>
      </c>
      <c r="D96" t="s">
        <v>3</v>
      </c>
      <c r="E96" t="s">
        <v>3</v>
      </c>
      <c r="F96" t="s">
        <v>3</v>
      </c>
    </row>
    <row r="97" spans="1:6" x14ac:dyDescent="0.3">
      <c r="A97" t="s">
        <v>75</v>
      </c>
      <c r="B97" s="2">
        <v>0.15679999999999999</v>
      </c>
      <c r="C97" t="s">
        <v>3</v>
      </c>
      <c r="D97" t="s">
        <v>3</v>
      </c>
      <c r="E97" t="s">
        <v>3</v>
      </c>
      <c r="F97" t="s">
        <v>3</v>
      </c>
    </row>
    <row r="98" spans="1:6" x14ac:dyDescent="0.3">
      <c r="A98" t="s">
        <v>76</v>
      </c>
    </row>
    <row r="99" spans="1:6" x14ac:dyDescent="0.3">
      <c r="A99" t="s">
        <v>77</v>
      </c>
      <c r="B99">
        <v>2025</v>
      </c>
      <c r="C99">
        <v>2024</v>
      </c>
      <c r="D99">
        <v>2023</v>
      </c>
      <c r="E99">
        <v>2022</v>
      </c>
      <c r="F99">
        <v>2021</v>
      </c>
    </row>
    <row r="100" spans="1:6" x14ac:dyDescent="0.3">
      <c r="A100" t="s">
        <v>78</v>
      </c>
      <c r="B100">
        <v>196</v>
      </c>
      <c r="C100">
        <v>176</v>
      </c>
      <c r="D100">
        <v>160</v>
      </c>
      <c r="E100">
        <v>141</v>
      </c>
      <c r="F100">
        <v>126</v>
      </c>
    </row>
    <row r="101" spans="1:6" x14ac:dyDescent="0.3">
      <c r="A101" t="s">
        <v>79</v>
      </c>
      <c r="B101" t="s">
        <v>3</v>
      </c>
      <c r="C101">
        <v>3</v>
      </c>
      <c r="D101">
        <v>5</v>
      </c>
      <c r="E101">
        <v>4</v>
      </c>
      <c r="F101">
        <v>9</v>
      </c>
    </row>
    <row r="102" spans="1:6" x14ac:dyDescent="0.3">
      <c r="A102" t="s">
        <v>80</v>
      </c>
      <c r="B102">
        <v>196</v>
      </c>
      <c r="C102">
        <v>173</v>
      </c>
      <c r="D102">
        <v>155</v>
      </c>
      <c r="E102">
        <v>136</v>
      </c>
      <c r="F102">
        <v>116</v>
      </c>
    </row>
    <row r="103" spans="1:6" x14ac:dyDescent="0.3">
      <c r="A103" t="s">
        <v>81</v>
      </c>
      <c r="B103" s="1">
        <v>1120</v>
      </c>
      <c r="C103">
        <v>936</v>
      </c>
      <c r="D103">
        <v>982</v>
      </c>
      <c r="E103">
        <v>805</v>
      </c>
      <c r="F103">
        <v>640</v>
      </c>
    </row>
    <row r="104" spans="1:6" x14ac:dyDescent="0.3">
      <c r="A104" t="s">
        <v>82</v>
      </c>
      <c r="B104" s="2">
        <v>0.1966</v>
      </c>
      <c r="C104" s="2">
        <v>-4.6600000000000003E-2</v>
      </c>
      <c r="D104" s="2">
        <v>0.2198</v>
      </c>
      <c r="E104" s="2">
        <v>0.25779999999999997</v>
      </c>
      <c r="F104" t="s">
        <v>3</v>
      </c>
    </row>
    <row r="106" spans="1:6" x14ac:dyDescent="0.3">
      <c r="A106" t="s">
        <v>83</v>
      </c>
      <c r="B106">
        <v>21</v>
      </c>
      <c r="C106">
        <v>25</v>
      </c>
      <c r="D106">
        <v>28</v>
      </c>
      <c r="E106">
        <v>29</v>
      </c>
      <c r="F106">
        <v>30</v>
      </c>
    </row>
    <row r="107" spans="1:6" x14ac:dyDescent="0.3">
      <c r="A107" t="s">
        <v>84</v>
      </c>
      <c r="B107">
        <v>81</v>
      </c>
      <c r="C107">
        <v>74</v>
      </c>
      <c r="D107">
        <v>222</v>
      </c>
      <c r="E107">
        <v>70</v>
      </c>
      <c r="F107">
        <v>66</v>
      </c>
    </row>
    <row r="108" spans="1:6" x14ac:dyDescent="0.3">
      <c r="A108" t="s">
        <v>85</v>
      </c>
      <c r="B108" t="s">
        <v>3</v>
      </c>
      <c r="C108" t="s">
        <v>3</v>
      </c>
      <c r="D108">
        <v>100</v>
      </c>
      <c r="E108" t="s">
        <v>3</v>
      </c>
      <c r="F108" t="s">
        <v>3</v>
      </c>
    </row>
    <row r="109" spans="1:6" x14ac:dyDescent="0.3">
      <c r="A109" t="s">
        <v>86</v>
      </c>
      <c r="B109">
        <v>81</v>
      </c>
      <c r="C109">
        <v>74</v>
      </c>
      <c r="D109">
        <v>122</v>
      </c>
      <c r="E109">
        <v>70</v>
      </c>
      <c r="F109">
        <v>66</v>
      </c>
    </row>
    <row r="110" spans="1:6" x14ac:dyDescent="0.3">
      <c r="A110" t="s">
        <v>87</v>
      </c>
      <c r="B110" s="1">
        <v>1419</v>
      </c>
      <c r="C110" s="1">
        <v>1212</v>
      </c>
      <c r="D110" s="1">
        <v>1391</v>
      </c>
      <c r="E110" s="1">
        <v>1045</v>
      </c>
      <c r="F110">
        <v>862</v>
      </c>
    </row>
    <row r="111" spans="1:6" x14ac:dyDescent="0.3">
      <c r="A111" t="s">
        <v>88</v>
      </c>
      <c r="B111">
        <v>1.73</v>
      </c>
      <c r="C111">
        <v>1.74</v>
      </c>
      <c r="D111">
        <v>1</v>
      </c>
      <c r="E111">
        <v>1.19</v>
      </c>
      <c r="F111">
        <v>1.41</v>
      </c>
    </row>
    <row r="112" spans="1:6" x14ac:dyDescent="0.3">
      <c r="A112" t="s">
        <v>89</v>
      </c>
      <c r="B112">
        <v>0.71</v>
      </c>
      <c r="C112">
        <v>0.63</v>
      </c>
      <c r="D112">
        <v>0.16</v>
      </c>
      <c r="E112">
        <v>0.14000000000000001</v>
      </c>
      <c r="F112">
        <v>0.48</v>
      </c>
    </row>
    <row r="113" spans="1:6" x14ac:dyDescent="0.3">
      <c r="A113" t="s">
        <v>90</v>
      </c>
      <c r="B113">
        <v>0.63</v>
      </c>
      <c r="C113">
        <v>0.57999999999999996</v>
      </c>
      <c r="D113">
        <v>0.1</v>
      </c>
      <c r="E113">
        <v>0.08</v>
      </c>
      <c r="F113">
        <v>0.41</v>
      </c>
    </row>
    <row r="114" spans="1:6" x14ac:dyDescent="0.3">
      <c r="A114" t="s">
        <v>91</v>
      </c>
      <c r="B114">
        <v>778</v>
      </c>
      <c r="C114">
        <v>712</v>
      </c>
      <c r="D114">
        <v>680</v>
      </c>
      <c r="E114">
        <v>656</v>
      </c>
      <c r="F114">
        <v>716</v>
      </c>
    </row>
    <row r="115" spans="1:6" x14ac:dyDescent="0.3">
      <c r="A115" t="s">
        <v>92</v>
      </c>
      <c r="B115">
        <v>778</v>
      </c>
      <c r="C115">
        <v>712</v>
      </c>
      <c r="D115">
        <v>680</v>
      </c>
      <c r="E115">
        <v>656</v>
      </c>
      <c r="F115">
        <v>716</v>
      </c>
    </row>
    <row r="116" spans="1:6" x14ac:dyDescent="0.3">
      <c r="A116" t="s">
        <v>93</v>
      </c>
      <c r="B116" t="s">
        <v>3</v>
      </c>
      <c r="C116" t="s">
        <v>3</v>
      </c>
      <c r="D116">
        <v>47</v>
      </c>
      <c r="E116">
        <v>52</v>
      </c>
      <c r="F116">
        <v>46</v>
      </c>
    </row>
    <row r="117" spans="1:6" x14ac:dyDescent="0.3">
      <c r="A117" t="s">
        <v>94</v>
      </c>
      <c r="B117">
        <v>64</v>
      </c>
      <c r="C117">
        <v>59</v>
      </c>
      <c r="D117">
        <v>53</v>
      </c>
      <c r="E117">
        <v>48</v>
      </c>
      <c r="F117">
        <v>43</v>
      </c>
    </row>
    <row r="118" spans="1:6" x14ac:dyDescent="0.3">
      <c r="A118" t="s">
        <v>95</v>
      </c>
      <c r="B118">
        <v>-8</v>
      </c>
      <c r="C118">
        <v>-13</v>
      </c>
      <c r="D118">
        <v>-16</v>
      </c>
      <c r="E118">
        <v>-16</v>
      </c>
      <c r="F118">
        <v>-12</v>
      </c>
    </row>
    <row r="120" spans="1:6" x14ac:dyDescent="0.3">
      <c r="A120" t="s">
        <v>96</v>
      </c>
      <c r="B120" t="s">
        <v>3</v>
      </c>
      <c r="C120">
        <v>200</v>
      </c>
      <c r="D120">
        <v>173</v>
      </c>
      <c r="E120" t="s">
        <v>3</v>
      </c>
      <c r="F120" t="s">
        <v>3</v>
      </c>
    </row>
    <row r="121" spans="1:6" x14ac:dyDescent="0.3">
      <c r="A121" t="s">
        <v>97</v>
      </c>
      <c r="B121">
        <v>8</v>
      </c>
      <c r="C121">
        <v>212</v>
      </c>
      <c r="D121">
        <v>189</v>
      </c>
      <c r="E121">
        <v>16</v>
      </c>
      <c r="F121">
        <v>12</v>
      </c>
    </row>
    <row r="122" spans="1:6" x14ac:dyDescent="0.3">
      <c r="A122" t="s">
        <v>98</v>
      </c>
      <c r="B122" s="1">
        <v>2261</v>
      </c>
      <c r="C122" s="1">
        <v>2182</v>
      </c>
      <c r="D122" s="1">
        <v>2298</v>
      </c>
      <c r="E122" s="1">
        <v>1749</v>
      </c>
      <c r="F122" s="1">
        <v>1621</v>
      </c>
    </row>
    <row r="123" spans="1:6" x14ac:dyDescent="0.3">
      <c r="A123" t="s">
        <v>99</v>
      </c>
      <c r="B123" s="2">
        <v>0.55469999999999997</v>
      </c>
      <c r="C123" s="2">
        <v>0.58009999999999995</v>
      </c>
      <c r="D123" s="2">
        <v>0.80930000000000002</v>
      </c>
      <c r="E123" s="2">
        <v>0.73460000000000003</v>
      </c>
      <c r="F123" s="2">
        <v>0.68740000000000001</v>
      </c>
    </row>
    <row r="124" spans="1:6" x14ac:dyDescent="0.3">
      <c r="A124" t="s">
        <v>100</v>
      </c>
      <c r="B124" s="1">
        <v>1815</v>
      </c>
      <c r="C124" s="1">
        <v>1579</v>
      </c>
      <c r="D124">
        <v>542</v>
      </c>
      <c r="E124">
        <v>632</v>
      </c>
      <c r="F124">
        <v>737</v>
      </c>
    </row>
    <row r="125" spans="1:6" x14ac:dyDescent="0.3">
      <c r="A125" t="s">
        <v>101</v>
      </c>
      <c r="B125" s="1">
        <v>1122</v>
      </c>
      <c r="C125" s="1">
        <v>1122</v>
      </c>
      <c r="D125">
        <v>475</v>
      </c>
      <c r="E125">
        <v>18</v>
      </c>
      <c r="F125">
        <v>18</v>
      </c>
    </row>
    <row r="126" spans="1:6" x14ac:dyDescent="0.3">
      <c r="A126" t="s">
        <v>102</v>
      </c>
      <c r="B126">
        <v>694</v>
      </c>
      <c r="C126">
        <v>457</v>
      </c>
      <c r="D126">
        <v>67</v>
      </c>
      <c r="E126">
        <v>614</v>
      </c>
      <c r="F126">
        <v>719</v>
      </c>
    </row>
    <row r="127" spans="1:6" x14ac:dyDescent="0.3">
      <c r="A127" t="s">
        <v>103</v>
      </c>
      <c r="B127">
        <v>0</v>
      </c>
      <c r="C127">
        <v>0</v>
      </c>
      <c r="D127">
        <v>0</v>
      </c>
      <c r="E127" t="s">
        <v>3</v>
      </c>
      <c r="F127" t="s">
        <v>3</v>
      </c>
    </row>
    <row r="129" spans="1:7" x14ac:dyDescent="0.3">
      <c r="A129" t="s">
        <v>104</v>
      </c>
      <c r="B129" s="2">
        <v>0.44529999999999997</v>
      </c>
      <c r="C129" s="2">
        <v>0.4199</v>
      </c>
      <c r="D129" s="2">
        <v>0.19070000000000001</v>
      </c>
      <c r="E129" s="2">
        <v>0.26540000000000002</v>
      </c>
      <c r="F129" s="2">
        <v>0.31259999999999999</v>
      </c>
    </row>
    <row r="130" spans="1:7" x14ac:dyDescent="0.3">
      <c r="A130" t="s">
        <v>105</v>
      </c>
      <c r="B130" s="1">
        <v>1815</v>
      </c>
      <c r="C130" s="1">
        <v>1579</v>
      </c>
      <c r="D130">
        <v>542</v>
      </c>
      <c r="E130">
        <v>632</v>
      </c>
      <c r="F130">
        <v>737</v>
      </c>
    </row>
    <row r="131" spans="1:7" x14ac:dyDescent="0.3">
      <c r="A131" t="s">
        <v>106</v>
      </c>
      <c r="B131" s="2">
        <v>0.44529999999999997</v>
      </c>
      <c r="C131" s="2">
        <v>0.4199</v>
      </c>
      <c r="D131" s="2">
        <v>0.19070000000000001</v>
      </c>
      <c r="E131" s="2">
        <v>0.26540000000000002</v>
      </c>
      <c r="F131" s="2">
        <v>0.31259999999999999</v>
      </c>
    </row>
    <row r="132" spans="1:7" x14ac:dyDescent="0.3">
      <c r="A132" t="s">
        <v>107</v>
      </c>
      <c r="B132" s="1">
        <v>1815</v>
      </c>
      <c r="C132" s="1">
        <v>1579</v>
      </c>
      <c r="D132">
        <v>542</v>
      </c>
      <c r="E132">
        <v>632</v>
      </c>
      <c r="F132">
        <v>737</v>
      </c>
    </row>
    <row r="133" spans="1:7" x14ac:dyDescent="0.3">
      <c r="A133" t="s">
        <v>76</v>
      </c>
      <c r="B133" s="1">
        <v>4076</v>
      </c>
      <c r="C133" s="1">
        <v>3761</v>
      </c>
      <c r="D133" s="1">
        <v>2839</v>
      </c>
      <c r="E133" s="1">
        <v>2380</v>
      </c>
      <c r="F133" s="1">
        <v>2358</v>
      </c>
    </row>
    <row r="135" spans="1:7" x14ac:dyDescent="0.3">
      <c r="A135" t="s">
        <v>329</v>
      </c>
      <c r="B135" s="1">
        <v>8400</v>
      </c>
      <c r="C135" s="1">
        <v>8400</v>
      </c>
    </row>
    <row r="137" spans="1:7" x14ac:dyDescent="0.3">
      <c r="A137" t="s">
        <v>248</v>
      </c>
    </row>
    <row r="138" spans="1:7" x14ac:dyDescent="0.3">
      <c r="A138" t="s">
        <v>202</v>
      </c>
    </row>
    <row r="139" spans="1:7" x14ac:dyDescent="0.3">
      <c r="A139" t="s">
        <v>203</v>
      </c>
      <c r="B139">
        <v>2025</v>
      </c>
      <c r="C139">
        <v>2024</v>
      </c>
      <c r="D139">
        <v>2023</v>
      </c>
      <c r="E139">
        <v>2022</v>
      </c>
      <c r="F139">
        <v>2021</v>
      </c>
      <c r="G139" t="s">
        <v>204</v>
      </c>
    </row>
    <row r="140" spans="1:7" x14ac:dyDescent="0.3">
      <c r="A140" t="s">
        <v>205</v>
      </c>
      <c r="B140" s="65">
        <v>813546</v>
      </c>
      <c r="C140" s="65">
        <v>658591</v>
      </c>
      <c r="D140" s="65">
        <v>538212</v>
      </c>
      <c r="E140" s="65">
        <v>484113</v>
      </c>
      <c r="F140" s="65">
        <v>561816</v>
      </c>
    </row>
    <row r="141" spans="1:7" x14ac:dyDescent="0.3">
      <c r="A141" t="s">
        <v>31</v>
      </c>
      <c r="B141" s="2">
        <v>0.23530000000000001</v>
      </c>
      <c r="C141" s="2">
        <v>0.22370000000000001</v>
      </c>
      <c r="D141" s="2">
        <v>0.11169999999999999</v>
      </c>
      <c r="E141" s="2">
        <v>-0.13830000000000001</v>
      </c>
      <c r="F141" t="s">
        <v>3</v>
      </c>
    </row>
    <row r="143" spans="1:7" x14ac:dyDescent="0.3">
      <c r="A143" t="s">
        <v>206</v>
      </c>
      <c r="B143" s="65">
        <v>277109</v>
      </c>
      <c r="C143" s="65">
        <v>245975</v>
      </c>
      <c r="D143" s="65">
        <v>222203</v>
      </c>
      <c r="E143" s="65">
        <v>209010</v>
      </c>
      <c r="F143" s="65">
        <v>189400</v>
      </c>
    </row>
    <row r="144" spans="1:7" x14ac:dyDescent="0.3">
      <c r="A144" t="s">
        <v>207</v>
      </c>
      <c r="B144" s="65">
        <v>277108</v>
      </c>
      <c r="C144" s="65">
        <v>245974</v>
      </c>
      <c r="D144" s="65">
        <v>222203</v>
      </c>
      <c r="E144" s="65">
        <v>209005</v>
      </c>
      <c r="F144" s="65">
        <v>189395</v>
      </c>
    </row>
    <row r="145" spans="1:6" x14ac:dyDescent="0.3">
      <c r="A145" t="s">
        <v>208</v>
      </c>
      <c r="B145">
        <v>1</v>
      </c>
      <c r="C145">
        <v>1</v>
      </c>
      <c r="D145" t="s">
        <v>3</v>
      </c>
      <c r="E145">
        <v>5</v>
      </c>
      <c r="F145">
        <v>5</v>
      </c>
    </row>
    <row r="146" spans="1:6" x14ac:dyDescent="0.3">
      <c r="A146" t="s">
        <v>209</v>
      </c>
      <c r="B146" s="65">
        <v>-188638</v>
      </c>
      <c r="C146" s="65">
        <v>-152660</v>
      </c>
      <c r="D146" s="65">
        <v>-126049</v>
      </c>
      <c r="E146" s="65">
        <v>-150676</v>
      </c>
      <c r="F146" s="65">
        <v>-145220</v>
      </c>
    </row>
    <row r="148" spans="1:6" x14ac:dyDescent="0.3">
      <c r="A148" t="s">
        <v>210</v>
      </c>
      <c r="B148" s="65">
        <v>902017</v>
      </c>
      <c r="C148" s="65">
        <v>751906</v>
      </c>
      <c r="D148" s="65">
        <v>634366</v>
      </c>
      <c r="E148" s="65">
        <v>542447</v>
      </c>
      <c r="F148" s="65">
        <v>605996</v>
      </c>
    </row>
    <row r="149" spans="1:6" x14ac:dyDescent="0.3">
      <c r="A149" t="s">
        <v>211</v>
      </c>
      <c r="B149" s="65">
        <v>27961</v>
      </c>
      <c r="C149" s="65">
        <v>-257366</v>
      </c>
      <c r="D149" s="65">
        <v>108832</v>
      </c>
      <c r="E149" s="65">
        <v>-137521</v>
      </c>
      <c r="F149" s="65">
        <v>-30514</v>
      </c>
    </row>
    <row r="151" spans="1:6" x14ac:dyDescent="0.3">
      <c r="A151" t="s">
        <v>212</v>
      </c>
      <c r="B151" s="65">
        <v>-38401</v>
      </c>
      <c r="C151" s="65">
        <v>-9779</v>
      </c>
      <c r="D151" s="65">
        <v>-6880</v>
      </c>
      <c r="E151" s="65">
        <v>-5794</v>
      </c>
      <c r="F151" s="65">
        <v>-14103</v>
      </c>
    </row>
    <row r="153" spans="1:6" x14ac:dyDescent="0.3">
      <c r="A153" t="s">
        <v>55</v>
      </c>
      <c r="B153" s="65">
        <v>-120303</v>
      </c>
      <c r="C153" s="65">
        <v>-183052</v>
      </c>
      <c r="D153" s="65">
        <v>-95688</v>
      </c>
      <c r="E153" s="65">
        <v>-300583</v>
      </c>
      <c r="F153" s="65">
        <v>-83636</v>
      </c>
    </row>
    <row r="155" spans="1:6" x14ac:dyDescent="0.3">
      <c r="A155" t="s">
        <v>81</v>
      </c>
      <c r="B155" s="65">
        <v>187214</v>
      </c>
      <c r="C155" s="65">
        <v>-93790</v>
      </c>
      <c r="D155" s="65">
        <v>224429</v>
      </c>
      <c r="E155" s="65">
        <v>174483</v>
      </c>
      <c r="F155" s="65">
        <v>64136</v>
      </c>
    </row>
    <row r="157" spans="1:6" x14ac:dyDescent="0.3">
      <c r="A157" t="s">
        <v>213</v>
      </c>
      <c r="B157">
        <v>-549</v>
      </c>
      <c r="C157" s="65">
        <v>29255</v>
      </c>
      <c r="D157" s="65">
        <v>-13029</v>
      </c>
      <c r="E157" s="65">
        <v>-5627</v>
      </c>
      <c r="F157" s="65">
        <v>3089</v>
      </c>
    </row>
    <row r="159" spans="1:6" x14ac:dyDescent="0.3">
      <c r="A159" t="s">
        <v>214</v>
      </c>
      <c r="B159" s="65">
        <v>929978</v>
      </c>
      <c r="C159" s="65">
        <v>494540</v>
      </c>
      <c r="D159" s="65">
        <v>743198</v>
      </c>
      <c r="E159" s="65">
        <v>404926</v>
      </c>
      <c r="F159" s="65">
        <v>575482</v>
      </c>
    </row>
    <row r="160" spans="1:6" x14ac:dyDescent="0.3">
      <c r="A160" t="s">
        <v>215</v>
      </c>
      <c r="B160" s="2">
        <v>0.88049999999999995</v>
      </c>
      <c r="C160" s="2">
        <v>-0.33460000000000001</v>
      </c>
      <c r="D160" s="2">
        <v>0.83540000000000003</v>
      </c>
      <c r="E160" s="2">
        <v>-0.2964</v>
      </c>
      <c r="F160" t="s">
        <v>3</v>
      </c>
    </row>
    <row r="162" spans="1:7" x14ac:dyDescent="0.3">
      <c r="A162" t="s">
        <v>216</v>
      </c>
      <c r="B162" s="2">
        <v>8.1299999999999997E-2</v>
      </c>
      <c r="C162" s="2">
        <v>4.9500000000000002E-2</v>
      </c>
      <c r="D162" s="2">
        <v>8.0699999999999994E-2</v>
      </c>
      <c r="E162" s="2">
        <v>5.0099999999999999E-2</v>
      </c>
      <c r="F162" s="2">
        <v>7.3400000000000007E-2</v>
      </c>
    </row>
    <row r="163" spans="1:7" x14ac:dyDescent="0.3">
      <c r="A163" t="s">
        <v>217</v>
      </c>
    </row>
    <row r="164" spans="1:7" x14ac:dyDescent="0.3">
      <c r="A164" t="s">
        <v>218</v>
      </c>
      <c r="B164">
        <v>2025</v>
      </c>
      <c r="C164">
        <v>2024</v>
      </c>
      <c r="D164">
        <v>2023</v>
      </c>
      <c r="E164">
        <v>2022</v>
      </c>
      <c r="F164">
        <v>2021</v>
      </c>
      <c r="G164" t="s">
        <v>204</v>
      </c>
    </row>
    <row r="165" spans="1:7" x14ac:dyDescent="0.3">
      <c r="A165" t="s">
        <v>219</v>
      </c>
      <c r="B165" s="65">
        <v>-173232</v>
      </c>
      <c r="C165" s="65">
        <v>-172910</v>
      </c>
      <c r="D165" s="65">
        <v>-160594</v>
      </c>
      <c r="E165" s="65">
        <v>-108955</v>
      </c>
      <c r="F165" s="65">
        <v>-96019</v>
      </c>
    </row>
    <row r="167" spans="1:7" x14ac:dyDescent="0.3">
      <c r="A167" t="s">
        <v>220</v>
      </c>
      <c r="B167" s="65">
        <v>-173231</v>
      </c>
      <c r="C167" s="65">
        <v>-172907</v>
      </c>
      <c r="D167" s="65">
        <v>-160589</v>
      </c>
      <c r="E167" s="65">
        <v>-108955</v>
      </c>
      <c r="F167" s="65">
        <v>-96019</v>
      </c>
    </row>
    <row r="169" spans="1:7" x14ac:dyDescent="0.3">
      <c r="A169" t="s">
        <v>221</v>
      </c>
      <c r="B169">
        <v>-1</v>
      </c>
      <c r="C169">
        <v>-3</v>
      </c>
      <c r="D169">
        <v>-5</v>
      </c>
      <c r="E169" t="s">
        <v>3</v>
      </c>
      <c r="F169" t="s">
        <v>3</v>
      </c>
    </row>
    <row r="171" spans="1:7" x14ac:dyDescent="0.3">
      <c r="A171" t="s">
        <v>222</v>
      </c>
      <c r="B171" s="2">
        <v>-1.9E-3</v>
      </c>
      <c r="C171" s="2">
        <v>-7.6700000000000004E-2</v>
      </c>
      <c r="D171" s="2">
        <v>-0.47389999999999999</v>
      </c>
      <c r="E171" s="2">
        <v>-0.13469999999999999</v>
      </c>
      <c r="F171" t="s">
        <v>3</v>
      </c>
    </row>
    <row r="173" spans="1:7" x14ac:dyDescent="0.3">
      <c r="A173" t="s">
        <v>223</v>
      </c>
      <c r="B173" s="2">
        <v>-1.52E-2</v>
      </c>
      <c r="C173" s="2">
        <v>-1.7299999999999999E-2</v>
      </c>
      <c r="D173" s="2">
        <v>-1.7399999999999999E-2</v>
      </c>
      <c r="E173" s="2">
        <v>-1.35E-2</v>
      </c>
      <c r="F173" s="2">
        <v>-1.23E-2</v>
      </c>
    </row>
    <row r="175" spans="1:7" x14ac:dyDescent="0.3">
      <c r="A175" t="s">
        <v>224</v>
      </c>
      <c r="B175" s="65">
        <v>1470</v>
      </c>
      <c r="C175" s="65">
        <v>1313</v>
      </c>
      <c r="D175">
        <v>348</v>
      </c>
      <c r="E175">
        <v>90</v>
      </c>
      <c r="F175">
        <v>37</v>
      </c>
    </row>
    <row r="176" spans="1:7" x14ac:dyDescent="0.3">
      <c r="A176" t="s">
        <v>225</v>
      </c>
      <c r="B176" s="65">
        <v>200000</v>
      </c>
      <c r="C176" s="65">
        <v>-200000</v>
      </c>
      <c r="D176" t="s">
        <v>3</v>
      </c>
      <c r="E176" s="65">
        <v>321318</v>
      </c>
      <c r="F176" s="65">
        <v>-320000</v>
      </c>
    </row>
    <row r="178" spans="1:7" x14ac:dyDescent="0.3">
      <c r="A178" t="s">
        <v>226</v>
      </c>
      <c r="B178" t="s">
        <v>3</v>
      </c>
      <c r="C178" s="65">
        <v>-200000</v>
      </c>
      <c r="D178" t="s">
        <v>3</v>
      </c>
      <c r="E178" t="s">
        <v>3</v>
      </c>
      <c r="F178" s="65">
        <v>-320000</v>
      </c>
    </row>
    <row r="180" spans="1:7" x14ac:dyDescent="0.3">
      <c r="A180" t="s">
        <v>227</v>
      </c>
      <c r="B180" s="65">
        <v>200000</v>
      </c>
      <c r="C180" t="s">
        <v>3</v>
      </c>
      <c r="D180" t="s">
        <v>3</v>
      </c>
      <c r="E180" s="65">
        <v>321318</v>
      </c>
      <c r="F180" t="s">
        <v>3</v>
      </c>
    </row>
    <row r="181" spans="1:7" x14ac:dyDescent="0.3">
      <c r="A181" t="s">
        <v>228</v>
      </c>
      <c r="B181" t="s">
        <v>3</v>
      </c>
      <c r="C181">
        <v>-38</v>
      </c>
      <c r="D181">
        <v>-204</v>
      </c>
      <c r="E181">
        <v>-154</v>
      </c>
      <c r="F181" t="s">
        <v>3</v>
      </c>
    </row>
    <row r="183" spans="1:7" x14ac:dyDescent="0.3">
      <c r="A183" t="s">
        <v>229</v>
      </c>
      <c r="B183">
        <v>220</v>
      </c>
      <c r="C183" t="s">
        <v>3</v>
      </c>
      <c r="D183" t="s">
        <v>3</v>
      </c>
      <c r="E183" t="s">
        <v>3</v>
      </c>
      <c r="F183">
        <v>962</v>
      </c>
    </row>
    <row r="184" spans="1:7" x14ac:dyDescent="0.3">
      <c r="A184" t="s">
        <v>230</v>
      </c>
      <c r="B184" s="65">
        <v>28458</v>
      </c>
      <c r="C184" s="65">
        <v>-371635</v>
      </c>
      <c r="D184" s="65">
        <v>-160450</v>
      </c>
      <c r="E184" s="65">
        <v>212299</v>
      </c>
      <c r="F184" s="65">
        <v>-415020</v>
      </c>
    </row>
    <row r="186" spans="1:7" x14ac:dyDescent="0.3">
      <c r="A186" t="s">
        <v>231</v>
      </c>
      <c r="B186" s="2">
        <v>1.0766</v>
      </c>
      <c r="C186" s="2">
        <v>-1.3162</v>
      </c>
      <c r="D186" s="2">
        <v>-1.7558</v>
      </c>
      <c r="E186" s="2">
        <v>1.5115000000000001</v>
      </c>
      <c r="F186" t="s">
        <v>3</v>
      </c>
    </row>
    <row r="188" spans="1:7" x14ac:dyDescent="0.3">
      <c r="A188" t="s">
        <v>232</v>
      </c>
      <c r="B188" s="2">
        <v>2.5000000000000001E-3</v>
      </c>
      <c r="C188" s="2">
        <v>-3.7199999999999997E-2</v>
      </c>
      <c r="D188" s="2">
        <v>-1.7399999999999999E-2</v>
      </c>
      <c r="E188" s="2">
        <v>2.63E-2</v>
      </c>
      <c r="F188" s="2">
        <v>-5.2999999999999999E-2</v>
      </c>
    </row>
    <row r="190" spans="1:7" x14ac:dyDescent="0.3">
      <c r="A190" t="s">
        <v>233</v>
      </c>
    </row>
    <row r="191" spans="1:7" x14ac:dyDescent="0.3">
      <c r="A191" t="s">
        <v>218</v>
      </c>
      <c r="B191">
        <v>2025</v>
      </c>
      <c r="C191">
        <v>2024</v>
      </c>
      <c r="D191">
        <v>2023</v>
      </c>
      <c r="E191">
        <v>2022</v>
      </c>
      <c r="F191">
        <v>2021</v>
      </c>
      <c r="G191" t="s">
        <v>204</v>
      </c>
    </row>
    <row r="192" spans="1:7" x14ac:dyDescent="0.3">
      <c r="A192" t="s">
        <v>234</v>
      </c>
      <c r="B192" s="65">
        <v>-378000</v>
      </c>
      <c r="C192" s="65">
        <v>-200000</v>
      </c>
      <c r="D192" s="65">
        <v>-390500</v>
      </c>
      <c r="E192" s="65">
        <v>-431800</v>
      </c>
      <c r="F192" s="65">
        <v>-154300</v>
      </c>
    </row>
    <row r="194" spans="1:6" x14ac:dyDescent="0.3">
      <c r="A194" t="s">
        <v>235</v>
      </c>
      <c r="B194" s="65">
        <v>-378000</v>
      </c>
      <c r="C194" s="65">
        <v>-200000</v>
      </c>
      <c r="D194" s="65">
        <v>-390500</v>
      </c>
      <c r="E194" s="65">
        <v>-431800</v>
      </c>
      <c r="F194" s="65">
        <v>-154300</v>
      </c>
    </row>
    <row r="196" spans="1:6" x14ac:dyDescent="0.3">
      <c r="A196" t="s">
        <v>236</v>
      </c>
      <c r="B196" t="s">
        <v>3</v>
      </c>
      <c r="C196" s="65">
        <v>647161</v>
      </c>
      <c r="D196" t="s">
        <v>3</v>
      </c>
      <c r="E196" t="s">
        <v>3</v>
      </c>
      <c r="F196" t="s">
        <v>3</v>
      </c>
    </row>
    <row r="197" spans="1:6" x14ac:dyDescent="0.3">
      <c r="A197" t="s">
        <v>237</v>
      </c>
      <c r="B197" t="s">
        <v>3</v>
      </c>
      <c r="C197" s="65">
        <v>647161</v>
      </c>
      <c r="D197" t="s">
        <v>3</v>
      </c>
      <c r="E197" t="s">
        <v>3</v>
      </c>
      <c r="F197" t="s">
        <v>3</v>
      </c>
    </row>
    <row r="198" spans="1:6" x14ac:dyDescent="0.3">
      <c r="A198" t="s">
        <v>238</v>
      </c>
      <c r="B198" t="s">
        <v>3</v>
      </c>
      <c r="C198" s="65">
        <v>647161</v>
      </c>
      <c r="D198" t="s">
        <v>3</v>
      </c>
      <c r="E198" t="s">
        <v>3</v>
      </c>
      <c r="F198" t="s">
        <v>3</v>
      </c>
    </row>
    <row r="199" spans="1:6" x14ac:dyDescent="0.3">
      <c r="A199" t="s">
        <v>239</v>
      </c>
      <c r="B199" s="65">
        <v>-3429</v>
      </c>
      <c r="C199" s="65">
        <v>-48506</v>
      </c>
      <c r="D199" s="65">
        <v>-4596</v>
      </c>
      <c r="E199" s="65">
        <v>5844</v>
      </c>
      <c r="F199" s="65">
        <v>-7673</v>
      </c>
    </row>
    <row r="201" spans="1:6" x14ac:dyDescent="0.3">
      <c r="A201" t="s">
        <v>209</v>
      </c>
      <c r="B201" s="65">
        <v>2641</v>
      </c>
      <c r="C201">
        <v>-453</v>
      </c>
      <c r="D201" s="65">
        <v>4407</v>
      </c>
      <c r="E201" s="65">
        <v>-7600</v>
      </c>
      <c r="F201" s="65">
        <v>7134</v>
      </c>
    </row>
    <row r="203" spans="1:6" x14ac:dyDescent="0.3">
      <c r="A203" t="s">
        <v>228</v>
      </c>
      <c r="B203" t="s">
        <v>3</v>
      </c>
      <c r="C203">
        <v>-453</v>
      </c>
      <c r="D203" t="s">
        <v>3</v>
      </c>
      <c r="E203" s="65">
        <v>-7600</v>
      </c>
      <c r="F203" t="s">
        <v>3</v>
      </c>
    </row>
    <row r="205" spans="1:6" x14ac:dyDescent="0.3">
      <c r="A205" t="s">
        <v>229</v>
      </c>
      <c r="B205" s="65">
        <v>2641</v>
      </c>
      <c r="C205" t="s">
        <v>3</v>
      </c>
      <c r="D205" s="65">
        <v>4407</v>
      </c>
      <c r="E205" t="s">
        <v>3</v>
      </c>
      <c r="F205" s="65">
        <v>7134</v>
      </c>
    </row>
    <row r="206" spans="1:6" x14ac:dyDescent="0.3">
      <c r="A206" t="s">
        <v>240</v>
      </c>
      <c r="B206" s="65">
        <v>-558634</v>
      </c>
      <c r="C206" s="65">
        <v>237649</v>
      </c>
      <c r="D206" s="65">
        <v>-530229</v>
      </c>
      <c r="E206" s="65">
        <v>-555938</v>
      </c>
      <c r="F206" s="65">
        <v>-260899</v>
      </c>
    </row>
    <row r="208" spans="1:6" x14ac:dyDescent="0.3">
      <c r="A208" t="s">
        <v>241</v>
      </c>
      <c r="B208" s="2">
        <v>-3.3506999999999998</v>
      </c>
      <c r="C208" s="2">
        <v>1.4481999999999999</v>
      </c>
      <c r="D208" s="2">
        <v>4.6199999999999998E-2</v>
      </c>
      <c r="E208" s="2">
        <v>-1.1309</v>
      </c>
      <c r="F208" t="s">
        <v>3</v>
      </c>
    </row>
    <row r="210" spans="1:6" x14ac:dyDescent="0.3">
      <c r="A210" t="s">
        <v>242</v>
      </c>
      <c r="B210" s="2">
        <v>-4.8899999999999999E-2</v>
      </c>
      <c r="C210" s="2">
        <v>2.3800000000000002E-2</v>
      </c>
      <c r="D210" s="2">
        <v>-5.7500000000000002E-2</v>
      </c>
      <c r="E210" s="2">
        <v>-6.88E-2</v>
      </c>
      <c r="F210" s="2">
        <v>-3.3300000000000003E-2</v>
      </c>
    </row>
    <row r="212" spans="1:6" x14ac:dyDescent="0.3">
      <c r="A212" t="s">
        <v>243</v>
      </c>
      <c r="B212">
        <v>-47</v>
      </c>
      <c r="C212">
        <v>-25</v>
      </c>
      <c r="D212">
        <v>-4</v>
      </c>
      <c r="E212" t="s">
        <v>3</v>
      </c>
      <c r="F212" t="s">
        <v>3</v>
      </c>
    </row>
    <row r="214" spans="1:6" x14ac:dyDescent="0.3">
      <c r="A214" t="s">
        <v>244</v>
      </c>
      <c r="B214" s="65">
        <v>399755</v>
      </c>
      <c r="C214" s="65">
        <v>360529</v>
      </c>
      <c r="D214" s="65">
        <v>52515</v>
      </c>
      <c r="E214" s="65">
        <v>61287</v>
      </c>
      <c r="F214" s="65">
        <v>-100437</v>
      </c>
    </row>
    <row r="216" spans="1:6" x14ac:dyDescent="0.3">
      <c r="A216" t="s">
        <v>245</v>
      </c>
      <c r="B216" s="65">
        <v>756747</v>
      </c>
      <c r="C216" s="65">
        <v>321633</v>
      </c>
      <c r="D216" s="65">
        <v>582609</v>
      </c>
      <c r="E216" s="65">
        <v>295971</v>
      </c>
      <c r="F216" s="65">
        <v>479463</v>
      </c>
    </row>
    <row r="217" spans="1:6" x14ac:dyDescent="0.3">
      <c r="A217" t="s">
        <v>246</v>
      </c>
      <c r="B217" s="2">
        <v>1.3528</v>
      </c>
      <c r="C217" s="2">
        <v>-0.44790000000000002</v>
      </c>
      <c r="D217" s="2">
        <v>0.96850000000000003</v>
      </c>
      <c r="E217" s="2">
        <v>-0.38269999999999998</v>
      </c>
      <c r="F217" t="s">
        <v>3</v>
      </c>
    </row>
    <row r="219" spans="1:6" x14ac:dyDescent="0.3">
      <c r="A219" t="s">
        <v>247</v>
      </c>
      <c r="B219" s="2">
        <v>1.18E-2</v>
      </c>
      <c r="C219" t="s">
        <v>3</v>
      </c>
      <c r="D219" t="s">
        <v>3</v>
      </c>
      <c r="E219" t="s">
        <v>3</v>
      </c>
      <c r="F219" t="s">
        <v>3</v>
      </c>
    </row>
    <row r="222" spans="1:6" x14ac:dyDescent="0.3">
      <c r="A222" t="s">
        <v>196</v>
      </c>
    </row>
    <row r="223" spans="1:6" x14ac:dyDescent="0.3">
      <c r="A223" t="s">
        <v>197</v>
      </c>
    </row>
    <row r="224" spans="1:6" x14ac:dyDescent="0.3">
      <c r="A224" t="s">
        <v>198</v>
      </c>
    </row>
    <row r="226" spans="1:8" x14ac:dyDescent="0.3">
      <c r="A226" t="s">
        <v>199</v>
      </c>
      <c r="B226">
        <v>250</v>
      </c>
    </row>
    <row r="228" spans="1:8" x14ac:dyDescent="0.3">
      <c r="A228" t="s">
        <v>175</v>
      </c>
      <c r="B228">
        <v>2024</v>
      </c>
      <c r="C228">
        <v>2025</v>
      </c>
      <c r="D228">
        <v>2026</v>
      </c>
      <c r="E228">
        <v>2027</v>
      </c>
      <c r="F228">
        <v>2028</v>
      </c>
      <c r="G228">
        <v>2029</v>
      </c>
      <c r="H228">
        <v>2030</v>
      </c>
    </row>
    <row r="229" spans="1:8" x14ac:dyDescent="0.3">
      <c r="A229" t="s">
        <v>200</v>
      </c>
      <c r="B229">
        <v>2778</v>
      </c>
      <c r="C229">
        <f t="shared" ref="C229:H229" si="0">B229+$B$226</f>
        <v>3028</v>
      </c>
      <c r="D229">
        <f t="shared" si="0"/>
        <v>3278</v>
      </c>
      <c r="E229">
        <f t="shared" si="0"/>
        <v>3528</v>
      </c>
      <c r="F229">
        <f t="shared" si="0"/>
        <v>3778</v>
      </c>
      <c r="G229">
        <f t="shared" si="0"/>
        <v>4028</v>
      </c>
      <c r="H229">
        <f t="shared" si="0"/>
        <v>4278</v>
      </c>
    </row>
    <row r="230" spans="1:8" x14ac:dyDescent="0.3">
      <c r="A230" t="s">
        <v>201</v>
      </c>
      <c r="B230" s="34">
        <f t="shared" ref="B230:H230" si="1">$B$226/B229</f>
        <v>8.9992800575953921E-2</v>
      </c>
      <c r="C230" s="34">
        <f t="shared" si="1"/>
        <v>8.2562747688243066E-2</v>
      </c>
      <c r="D230" s="34">
        <f t="shared" si="1"/>
        <v>7.6266015863331302E-2</v>
      </c>
      <c r="E230" s="34">
        <f t="shared" si="1"/>
        <v>7.0861678004535147E-2</v>
      </c>
      <c r="F230" s="34">
        <f t="shared" si="1"/>
        <v>6.6172578083642145E-2</v>
      </c>
      <c r="G230" s="34">
        <f t="shared" si="1"/>
        <v>6.2065541211519366E-2</v>
      </c>
      <c r="H230" s="34">
        <f t="shared" si="1"/>
        <v>5.8438522674146801E-2</v>
      </c>
    </row>
    <row r="233" spans="1:8" x14ac:dyDescent="0.3">
      <c r="A233" t="s">
        <v>248</v>
      </c>
    </row>
    <row r="234" spans="1:8" x14ac:dyDescent="0.3">
      <c r="A234" t="s">
        <v>214</v>
      </c>
      <c r="B234" s="1">
        <v>929978</v>
      </c>
      <c r="C234" s="1">
        <v>494540</v>
      </c>
      <c r="D234" s="1">
        <v>743198</v>
      </c>
      <c r="E234" s="1">
        <v>404926</v>
      </c>
      <c r="F234" s="1">
        <v>575482</v>
      </c>
    </row>
    <row r="235" spans="1:8" x14ac:dyDescent="0.3">
      <c r="A235" t="s">
        <v>230</v>
      </c>
      <c r="B235" s="1">
        <v>28458</v>
      </c>
      <c r="C235" s="1">
        <v>-371635</v>
      </c>
      <c r="D235" s="1">
        <v>-160450</v>
      </c>
      <c r="E235" s="1">
        <v>212299</v>
      </c>
      <c r="F235" s="1">
        <v>-415020</v>
      </c>
    </row>
    <row r="236" spans="1:8" x14ac:dyDescent="0.3">
      <c r="A236" t="s">
        <v>240</v>
      </c>
      <c r="B236" s="1">
        <v>-558634</v>
      </c>
      <c r="C236" s="1">
        <v>237649</v>
      </c>
      <c r="D236" s="1">
        <v>-530229</v>
      </c>
      <c r="E236" s="1">
        <v>-555938</v>
      </c>
      <c r="F236" s="1">
        <v>-260899</v>
      </c>
    </row>
    <row r="237" spans="1:8" x14ac:dyDescent="0.3">
      <c r="A237" t="s">
        <v>244</v>
      </c>
      <c r="B237" s="1">
        <v>399755</v>
      </c>
      <c r="C237" s="1">
        <v>360529</v>
      </c>
      <c r="D237" s="1">
        <v>52515</v>
      </c>
      <c r="E237" s="1">
        <v>61287</v>
      </c>
      <c r="F237" s="1">
        <v>-100437</v>
      </c>
    </row>
    <row r="238" spans="1:8" x14ac:dyDescent="0.3">
      <c r="A238" t="s">
        <v>249</v>
      </c>
      <c r="B238" s="1">
        <f t="shared" ref="B238:F238" si="2">B67+B74-B103</f>
        <v>375</v>
      </c>
      <c r="C238" s="1">
        <f t="shared" si="2"/>
        <v>423</v>
      </c>
      <c r="D238" s="1">
        <f t="shared" si="2"/>
        <v>236</v>
      </c>
      <c r="E238" s="1">
        <f t="shared" si="2"/>
        <v>317</v>
      </c>
      <c r="F238" s="1">
        <f t="shared" si="2"/>
        <v>181</v>
      </c>
    </row>
    <row r="239" spans="1:8" x14ac:dyDescent="0.3">
      <c r="A239" t="s">
        <v>250</v>
      </c>
      <c r="B239" s="1">
        <f t="shared" ref="B239:E239" si="3">B238-C238</f>
        <v>-48</v>
      </c>
      <c r="C239" s="1">
        <f t="shared" si="3"/>
        <v>187</v>
      </c>
      <c r="D239" s="1">
        <f t="shared" si="3"/>
        <v>-81</v>
      </c>
      <c r="E239" s="1">
        <f t="shared" si="3"/>
        <v>136</v>
      </c>
      <c r="F239" s="1"/>
    </row>
    <row r="240" spans="1:8" x14ac:dyDescent="0.3">
      <c r="A240" t="s">
        <v>251</v>
      </c>
      <c r="B240" s="1">
        <v>180</v>
      </c>
      <c r="C240">
        <v>180</v>
      </c>
      <c r="D240">
        <v>180</v>
      </c>
      <c r="E240">
        <v>180</v>
      </c>
      <c r="F240">
        <v>180</v>
      </c>
    </row>
    <row r="241" spans="1:6" x14ac:dyDescent="0.3">
      <c r="A241" t="s">
        <v>191</v>
      </c>
      <c r="B241" s="1">
        <f>B19+B23*(1-'DCF Model'!C48)</f>
        <v>618.23955773955777</v>
      </c>
      <c r="C241" s="1">
        <f>C19+C23*(1-'DCF Model'!D48)</f>
        <v>486.83763277693481</v>
      </c>
      <c r="D241" s="1">
        <f>(D19+D23)*(1-'DCF Model'!E48)</f>
        <v>432.71375464684013</v>
      </c>
      <c r="E241" s="1">
        <f>E19+E23*(1-'DCF Model'!F48)</f>
        <v>284.82231404958679</v>
      </c>
      <c r="F241" s="1">
        <f>F19+F23*(1-'DCF Model'!G48)</f>
        <v>432.12277580071168</v>
      </c>
    </row>
    <row r="242" spans="1:6" x14ac:dyDescent="0.3">
      <c r="A242" t="s">
        <v>252</v>
      </c>
      <c r="B242" s="34">
        <f t="shared" ref="B242:F242" si="4">(B239+B240)/B241</f>
        <v>0.2135094695050343</v>
      </c>
      <c r="C242" s="34">
        <f t="shared" si="4"/>
        <v>0.75384476320497706</v>
      </c>
      <c r="D242" s="34">
        <f t="shared" si="4"/>
        <v>0.22878865979381444</v>
      </c>
      <c r="E242" s="34">
        <f t="shared" si="4"/>
        <v>1.1094636354403935</v>
      </c>
      <c r="F242" s="34">
        <f t="shared" si="4"/>
        <v>0.41654828229422741</v>
      </c>
    </row>
    <row r="245" spans="1:6" x14ac:dyDescent="0.3">
      <c r="A245" t="s">
        <v>299</v>
      </c>
    </row>
    <row r="246" spans="1:6" x14ac:dyDescent="0.3">
      <c r="A246" t="s">
        <v>175</v>
      </c>
      <c r="B246" t="s">
        <v>300</v>
      </c>
      <c r="C246" t="s">
        <v>301</v>
      </c>
      <c r="D246" t="s">
        <v>302</v>
      </c>
      <c r="E246" t="s">
        <v>299</v>
      </c>
    </row>
    <row r="247" spans="1:6" x14ac:dyDescent="0.3">
      <c r="A247">
        <v>2023</v>
      </c>
      <c r="C247">
        <v>796.22</v>
      </c>
    </row>
    <row r="248" spans="1:6" x14ac:dyDescent="0.3">
      <c r="A248">
        <v>2023</v>
      </c>
      <c r="B248">
        <v>44.03</v>
      </c>
      <c r="C248">
        <v>839.96</v>
      </c>
      <c r="D248">
        <f t="shared" ref="D248:D250" si="5">(C248+C247)/2</f>
        <v>818.09</v>
      </c>
      <c r="E248" s="94">
        <f t="shared" ref="E248:E250" si="6">B248/D248</f>
        <v>5.3820484298793533E-2</v>
      </c>
    </row>
    <row r="249" spans="1:6" x14ac:dyDescent="0.3">
      <c r="A249">
        <v>2024</v>
      </c>
      <c r="B249">
        <v>45.03</v>
      </c>
      <c r="C249">
        <v>887.89</v>
      </c>
      <c r="D249">
        <f t="shared" si="5"/>
        <v>863.92499999999995</v>
      </c>
      <c r="E249" s="94">
        <f t="shared" si="6"/>
        <v>5.2122580085076836E-2</v>
      </c>
    </row>
    <row r="250" spans="1:6" x14ac:dyDescent="0.3">
      <c r="A250">
        <v>2025</v>
      </c>
      <c r="B250">
        <v>47.91</v>
      </c>
      <c r="C250">
        <v>974.05</v>
      </c>
      <c r="D250">
        <f t="shared" si="5"/>
        <v>930.97</v>
      </c>
      <c r="E250" s="94">
        <f t="shared" si="6"/>
        <v>5.1462453140273041E-2</v>
      </c>
    </row>
    <row r="251" spans="1:6" x14ac:dyDescent="0.3">
      <c r="E251" s="2">
        <f>AVERAGE(E248:E250)</f>
        <v>5.2468505841381137E-2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FSA</vt:lpstr>
      <vt:lpstr>DCF Model</vt:lpstr>
      <vt:lpstr>Comps </vt:lpstr>
      <vt:lpstr>Data</vt:lpstr>
      <vt:lpstr>taper_rate</vt:lpstr>
      <vt:lpstr>Tax_rate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Prabhjeet Singh Harpal Singh</dc:creator>
  <cp:lastModifiedBy>Prabhjeet Singh Harpal Singh</cp:lastModifiedBy>
  <dcterms:created xsi:type="dcterms:W3CDTF">2026-02-25T06:53:18Z</dcterms:created>
  <dcterms:modified xsi:type="dcterms:W3CDTF">2026-03-08T06:46:41Z</dcterms:modified>
</cp:coreProperties>
</file>